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54763d4fc4fd8a0/Desktop/"/>
    </mc:Choice>
  </mc:AlternateContent>
  <xr:revisionPtr revIDLastSave="36" documentId="8_{6ECA4726-A8F6-4E4E-956E-7BAA7C6684AE}" xr6:coauthVersionLast="47" xr6:coauthVersionMax="47" xr10:uidLastSave="{A742483A-930A-4ECE-9472-C8D40940CF22}"/>
  <bookViews>
    <workbookView xWindow="-120" yWindow="-120" windowWidth="29040" windowHeight="15720" activeTab="1" xr2:uid="{00000000-000D-0000-FFFF-FFFF00000000}"/>
  </bookViews>
  <sheets>
    <sheet name="Billing Data" sheetId="2" r:id="rId1"/>
    <sheet name="Marketing Data" sheetId="1" r:id="rId2"/>
    <sheet name="Medical CRM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4" i="2"/>
  <c r="P55" i="2"/>
  <c r="P56" i="2"/>
  <c r="P57" i="2"/>
  <c r="P58" i="2"/>
  <c r="P59" i="2"/>
  <c r="P60" i="2"/>
  <c r="P61" i="2"/>
  <c r="P62" i="2"/>
  <c r="P63" i="2"/>
  <c r="P64" i="2"/>
  <c r="P65" i="2"/>
  <c r="P68" i="2"/>
  <c r="P69" i="2"/>
  <c r="P70" i="2"/>
  <c r="P71" i="2"/>
  <c r="P72" i="2"/>
  <c r="Q72" i="2"/>
  <c r="P73" i="2"/>
  <c r="P74" i="2"/>
  <c r="P75" i="2"/>
  <c r="P76" i="2"/>
  <c r="Q76" i="2"/>
  <c r="P77" i="2"/>
  <c r="P78" i="2"/>
  <c r="P79" i="2"/>
  <c r="P82" i="2"/>
  <c r="P83" i="2"/>
  <c r="P84" i="2"/>
  <c r="P85" i="2"/>
  <c r="P86" i="2"/>
  <c r="Q86" i="2"/>
  <c r="P87" i="2"/>
  <c r="Q87" i="2"/>
  <c r="P88" i="2"/>
  <c r="Q88" i="2"/>
  <c r="P89" i="2"/>
  <c r="Q89" i="2"/>
  <c r="P90" i="2"/>
  <c r="Q90" i="2"/>
  <c r="P91" i="2"/>
  <c r="Q91" i="2"/>
  <c r="P92" i="2"/>
  <c r="Q92" i="2"/>
  <c r="P93" i="2"/>
  <c r="P94" i="2"/>
  <c r="Q94" i="2"/>
  <c r="P97" i="2"/>
  <c r="P98" i="2"/>
  <c r="Q98" i="2"/>
  <c r="P99" i="2"/>
  <c r="P100" i="2"/>
  <c r="P101" i="2"/>
  <c r="Q101" i="2"/>
  <c r="P102" i="2"/>
  <c r="P103" i="2"/>
  <c r="P104" i="2"/>
  <c r="P105" i="2"/>
  <c r="P106" i="2"/>
  <c r="P107" i="2"/>
  <c r="P108" i="2"/>
  <c r="P110" i="2"/>
  <c r="P111" i="2"/>
  <c r="P112" i="2"/>
  <c r="P113" i="2"/>
  <c r="P114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2" i="2"/>
  <c r="P6" i="2"/>
  <c r="P7" i="2"/>
  <c r="P21" i="2"/>
  <c r="P22" i="2"/>
  <c r="P36" i="2"/>
  <c r="P37" i="2"/>
  <c r="P52" i="2"/>
  <c r="P53" i="2"/>
  <c r="P66" i="2"/>
  <c r="P67" i="2"/>
  <c r="P80" i="2"/>
  <c r="P81" i="2"/>
  <c r="P95" i="2"/>
  <c r="P96" i="2"/>
  <c r="P109" i="2"/>
  <c r="P115" i="2"/>
  <c r="P116" i="2"/>
  <c r="P134" i="2"/>
  <c r="P135" i="2"/>
  <c r="G3" i="3"/>
  <c r="G4" i="3"/>
  <c r="G5" i="3"/>
  <c r="G6" i="3"/>
  <c r="G7" i="3"/>
  <c r="G8" i="3"/>
  <c r="G9" i="3"/>
  <c r="G10" i="3"/>
  <c r="G2" i="3"/>
  <c r="Q93" i="2" l="1"/>
  <c r="Q100" i="2"/>
  <c r="Q75" i="2"/>
  <c r="Q97" i="2"/>
  <c r="Q99" i="2"/>
  <c r="Q103" i="2"/>
  <c r="Q104" i="2"/>
  <c r="Q2" i="2"/>
  <c r="Q102" i="2"/>
  <c r="Q105" i="2"/>
  <c r="Q79" i="2"/>
  <c r="Q83" i="2"/>
  <c r="Q74" i="2"/>
  <c r="Q84" i="2"/>
  <c r="Q110" i="2"/>
  <c r="Q111" i="2"/>
  <c r="Q106" i="2"/>
  <c r="Q108" i="2"/>
  <c r="Q77" i="2"/>
  <c r="Q107" i="2"/>
  <c r="Q113" i="2"/>
  <c r="Q127" i="2"/>
  <c r="Q142" i="2"/>
  <c r="Q78" i="2"/>
  <c r="Q73" i="2"/>
  <c r="Q82" i="2"/>
  <c r="Q16" i="2"/>
  <c r="Q30" i="2"/>
  <c r="Q71" i="2"/>
  <c r="Q5" i="2"/>
  <c r="Q9" i="2"/>
  <c r="Q15" i="2"/>
  <c r="Q18" i="2"/>
  <c r="Q19" i="2"/>
  <c r="Q20" i="2"/>
  <c r="Q29" i="2"/>
  <c r="Q31" i="2"/>
  <c r="Q32" i="2"/>
  <c r="Q34" i="2"/>
  <c r="Q40" i="2"/>
  <c r="Q45" i="2"/>
  <c r="Q49" i="2"/>
  <c r="Q55" i="2"/>
  <c r="Q56" i="2"/>
  <c r="Q59" i="2"/>
  <c r="Q63" i="2"/>
  <c r="Q69" i="2"/>
  <c r="Q85" i="2"/>
  <c r="Q117" i="2"/>
  <c r="Q118" i="2"/>
  <c r="Q120" i="2"/>
  <c r="Q122" i="2"/>
  <c r="Q124" i="2"/>
  <c r="Q128" i="2"/>
  <c r="Q129" i="2"/>
  <c r="Q131" i="2"/>
  <c r="Q133" i="2"/>
  <c r="Q137" i="2"/>
  <c r="Q140" i="2"/>
  <c r="Q141" i="2"/>
  <c r="Q144" i="2"/>
  <c r="Q146" i="2"/>
  <c r="Q3" i="2"/>
  <c r="Q13" i="2"/>
  <c r="Q25" i="2"/>
  <c r="Q38" i="2"/>
  <c r="Q42" i="2"/>
  <c r="Q44" i="2"/>
  <c r="Q60" i="2"/>
  <c r="Q64" i="2"/>
  <c r="Q112" i="2"/>
  <c r="Q114" i="2"/>
  <c r="Q119" i="2"/>
  <c r="Q121" i="2"/>
  <c r="Q123" i="2"/>
  <c r="Q126" i="2"/>
  <c r="Q130" i="2"/>
  <c r="Q132" i="2"/>
  <c r="Q136" i="2"/>
  <c r="Q138" i="2"/>
  <c r="Q143" i="2"/>
  <c r="Q145" i="2"/>
  <c r="Q147" i="2"/>
  <c r="Q4" i="2"/>
  <c r="Q10" i="2"/>
  <c r="Q11" i="2"/>
  <c r="Q12" i="2"/>
  <c r="Q17" i="2"/>
  <c r="Q23" i="2"/>
  <c r="Q24" i="2"/>
  <c r="Q26" i="2"/>
  <c r="Q28" i="2"/>
  <c r="Q33" i="2"/>
  <c r="Q39" i="2"/>
  <c r="Q43" i="2"/>
  <c r="Q50" i="2"/>
  <c r="Q51" i="2"/>
  <c r="Q57" i="2"/>
  <c r="Q61" i="2"/>
  <c r="Q65" i="2"/>
  <c r="Q125" i="2"/>
  <c r="Q8" i="2"/>
  <c r="Q14" i="2"/>
  <c r="Q27" i="2"/>
  <c r="Q35" i="2"/>
  <c r="Q41" i="2"/>
  <c r="Q46" i="2"/>
  <c r="Q47" i="2"/>
  <c r="Q48" i="2"/>
  <c r="Q54" i="2"/>
  <c r="Q58" i="2"/>
  <c r="Q62" i="2"/>
  <c r="Q68" i="2"/>
  <c r="Q70" i="2"/>
  <c r="Q13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laa-hassan\Documents\My Data Sources\aws-bi-02_t17 CRM Dashboard Model.odc" keepAlive="1" name="aws-bi-02_t17 CRM Dashboard Model" type="5" refreshedVersion="5" background="1">
    <dbPr connection="Provider=MSOLAP.5;Integrated Security=SSPI;Persist Security Info=True;Initial Catalog=CRM Dashboard;Data Source=aws-bi-02\t17;MDX Compatibility=1;Safety Options=2;MDX Missing Member Mode=Error;Update Isolation Level=2" command="Model" commandType="1"/>
    <olapPr sendLocale="1" rowDrillCount="1000"/>
  </connection>
  <connection id="2" xr16:uid="{00000000-0015-0000-FFFF-FFFF01000000}" odcFile="C:\Users\alaa-hassan\Documents\My Data Sources\aws-bi-02_t17 Marketing Model.odc" keepAlive="1" name="aws-bi-02_t17 Marketing Model" type="5" refreshedVersion="5" background="1">
    <dbPr connection="Provider=MSOLAP.5;Integrated Security=SSPI;Persist Security Info=True;Initial Catalog=Marketing;Data Source=aws-bi-02\t17;MDX Compatibility=1;Safety Options=2;MDX Missing Member Mode=Error;Update Isolation Level=2" command="Model" commandType="1"/>
    <olapPr sendLocale="1" rowDrillCount="1000"/>
  </connection>
  <connection id="3" xr16:uid="{00000000-0015-0000-FFFF-FFFF02000000}" odcFile="C:\Users\asmaa-abdelhady\Documents\My Data Sources\bimonitoring.andalusiagroup.net_56203 Monitoring Billing.odc" keepAlive="1" name="bimonitoring.andalusiagroup.net_56203 Monitoring Billing" type="5" refreshedVersion="5" background="1">
    <dbPr connection="Provider=MSOLAP.5;Persist Security Info=True;User ID=asmaa-abdelhady;Initial Catalog=Monitoring;Data Source=bimonitoring.andalusiagroup.net:56203;MDX Compatibility=1;Safety Options=2;MDX Missing Member Mode=Error" command="Billing" commandType="1"/>
    <olapPr sendLocale="1" rowDrillCount="1000"/>
  </connection>
</connections>
</file>

<file path=xl/sharedStrings.xml><?xml version="1.0" encoding="utf-8"?>
<sst xmlns="http://schemas.openxmlformats.org/spreadsheetml/2006/main" count="805" uniqueCount="43">
  <si>
    <t>Country Name</t>
  </si>
  <si>
    <t>BU</t>
  </si>
  <si>
    <t>Month</t>
  </si>
  <si>
    <t>Unified Medical Department Name</t>
  </si>
  <si>
    <t>Payment Type</t>
  </si>
  <si>
    <t>Baseline Volume</t>
  </si>
  <si>
    <t>Baseline C/V</t>
  </si>
  <si>
    <t>Baseline Revenue</t>
  </si>
  <si>
    <t>Actual Revenue</t>
  </si>
  <si>
    <t>Actual Volume</t>
  </si>
  <si>
    <t>Actual C/V</t>
  </si>
  <si>
    <t>Historical Volume</t>
  </si>
  <si>
    <t>Historical C/V</t>
  </si>
  <si>
    <t>Historical Revenue</t>
  </si>
  <si>
    <t>Target Revenue</t>
  </si>
  <si>
    <t>Target Volume</t>
  </si>
  <si>
    <t>Target C/V</t>
  </si>
  <si>
    <t>Egypt</t>
  </si>
  <si>
    <t>AMH</t>
  </si>
  <si>
    <t>March 2025</t>
  </si>
  <si>
    <t>Cath LAB</t>
  </si>
  <si>
    <t>Cash</t>
  </si>
  <si>
    <t>Credit</t>
  </si>
  <si>
    <t>ER</t>
  </si>
  <si>
    <t>External - Pharmacy Sales</t>
  </si>
  <si>
    <t>ICU</t>
  </si>
  <si>
    <t>Inpatient</t>
  </si>
  <si>
    <t>NICU</t>
  </si>
  <si>
    <t>Outpatient</t>
  </si>
  <si>
    <t>PICU</t>
  </si>
  <si>
    <t>April 2025</t>
  </si>
  <si>
    <t>May 2025</t>
  </si>
  <si>
    <t>ASH</t>
  </si>
  <si>
    <t>Kingdom of Saudi Arabia</t>
  </si>
  <si>
    <t>HJH</t>
  </si>
  <si>
    <t>CCU</t>
  </si>
  <si>
    <t>Open Heart</t>
  </si>
  <si>
    <t>Baseline RPP</t>
  </si>
  <si>
    <t>Actual RPP</t>
  </si>
  <si>
    <t>Target RPP</t>
  </si>
  <si>
    <t>Actual CPV</t>
  </si>
  <si>
    <t>Baseline CPV</t>
  </si>
  <si>
    <t>Target CPV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</si>
</sst>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5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F4574-5CA6-4E7F-8F23-3949C709AD93}" name="Table1" displayName="Table1" ref="A1:Q147" totalsRowShown="0" headerRowDxfId="31" dataDxfId="30">
  <autoFilter ref="A1:Q147" xr:uid="{D87F4574-5CA6-4E7F-8F23-3949C709AD93}"/>
  <tableColumns count="17">
    <tableColumn id="1" xr3:uid="{71456CF0-0DAE-4A67-9DE4-3BA1225A7072}" name="Country Name" dataDxfId="29"/>
    <tableColumn id="2" xr3:uid="{43E999E1-F46C-4BFA-A45D-C647D3006A18}" name="BU" dataDxfId="28"/>
    <tableColumn id="3" xr3:uid="{1938759B-34E8-4776-9864-0C811E66A944}" name="Month" dataDxfId="27"/>
    <tableColumn id="4" xr3:uid="{9483D1BC-D863-473A-8EE0-0349CAFBDA92}" name="Unified Medical Department Name" dataDxfId="26"/>
    <tableColumn id="5" xr3:uid="{C81585FD-8C4D-4604-B65F-0E1E99028000}" name="Payment Type" dataDxfId="25"/>
    <tableColumn id="6" xr3:uid="{BA6EEF4D-6A57-439D-9F66-BFCDDBF0E186}" name="Baseline Volume" dataDxfId="24"/>
    <tableColumn id="7" xr3:uid="{B53381DA-0AAE-4AFF-95B8-BDEBFA4F4805}" name="Baseline C/V" dataDxfId="23"/>
    <tableColumn id="8" xr3:uid="{35779008-B2EF-4974-9C27-BDB45B816DDB}" name="Baseline Revenue" dataDxfId="22"/>
    <tableColumn id="9" xr3:uid="{890839AC-5B98-4E6B-850A-FF0EACDC2FCA}" name="Actual Revenue" dataDxfId="21"/>
    <tableColumn id="10" xr3:uid="{CC4AC93C-7D8F-4C7D-9EDD-8986BD391903}" name="Actual Volume" dataDxfId="20"/>
    <tableColumn id="11" xr3:uid="{63711A26-9D6B-48B0-A819-350F1AE9A0C8}" name="Actual C/V" dataDxfId="19"/>
    <tableColumn id="12" xr3:uid="{BAFF3FB7-FADE-4A70-8D31-2294C7226ACA}" name="Historical Volume" dataDxfId="18"/>
    <tableColumn id="13" xr3:uid="{0D69E4F4-3FC7-4491-B8C8-ABDA40BD75DA}" name="Historical C/V" dataDxfId="17"/>
    <tableColumn id="14" xr3:uid="{271EE496-BE88-4A5D-8999-21769ACFEEF6}" name="Historical Revenue" dataDxfId="16"/>
    <tableColumn id="15" xr3:uid="{5DD92927-4698-4349-81F8-AB6DC6E432A5}" name="Target Revenue" dataDxfId="15"/>
    <tableColumn id="16" xr3:uid="{DA21D76E-EEE7-4564-8C36-4A6BFF781A3F}" name="Target Volume" dataDxfId="14">
      <calculatedColumnFormula>MAX(L2,J2,F2)</calculatedColumnFormula>
    </tableColumn>
    <tableColumn id="17" xr3:uid="{D2812DF5-5AD6-4C04-8402-2769B97DB6D3}" name="Target C/V" dataDxfId="13">
      <calculatedColumnFormula>O2/P2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90A07B-6861-4979-8351-BD34D4E19BFD}" name="Table2" displayName="Table2" ref="A1:K10" totalsRowShown="0" headerRowDxfId="12" dataDxfId="11">
  <autoFilter ref="A1:K10" xr:uid="{7290A07B-6861-4979-8351-BD34D4E19BFD}"/>
  <tableColumns count="11">
    <tableColumn id="1" xr3:uid="{F6B6A624-C4FC-4C59-BE1B-F6F80A56EBF5}" name="BU" dataDxfId="10"/>
    <tableColumn id="2" xr3:uid="{6B051625-2338-4D10-89BB-FB4F03B648BB}" name="Month" dataDxfId="0"/>
    <tableColumn id="3" xr3:uid="{57F7A278-B980-4871-ABB1-5252E6F456AF}" name="Baseline Revenue" dataDxfId="9"/>
    <tableColumn id="4" xr3:uid="{8811A329-E7A0-4A44-9EF2-A27D73F202D4}" name="Actual Revenue" dataDxfId="8"/>
    <tableColumn id="5" xr3:uid="{55EE1530-4D8E-4392-B5FD-9B79B89C39CE}" name="Target Revenue" dataDxfId="7"/>
    <tableColumn id="6" xr3:uid="{49CEE649-C367-4AD4-8CFF-FBDF08F85D3D}" name="Actual Volume" dataDxfId="6"/>
    <tableColumn id="7" xr3:uid="{70026B1C-5178-428D-985E-419A63B3E717}" name="Baseline Volume" dataDxfId="5"/>
    <tableColumn id="8" xr3:uid="{8CD07EC6-E78D-4E24-9209-7A2A1C389567}" name="Baseline RPP" dataDxfId="4"/>
    <tableColumn id="9" xr3:uid="{33C3D077-9D7A-4A34-B04E-2DB54159F94B}" name="Actual RPP" dataDxfId="3"/>
    <tableColumn id="10" xr3:uid="{6969EB36-C316-46A5-A4DC-4A621B060189}" name="Target Volume" dataDxfId="2"/>
    <tableColumn id="11" xr3:uid="{07098B34-0EA5-4554-A03C-9C409A7CDD9B}" name="Target RPP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7EE9B3-4D65-4137-963B-4A263795321A}" name="Table3" displayName="Table3" ref="A1:K10" totalsRowShown="0" headerRowDxfId="44" dataDxfId="43">
  <autoFilter ref="A1:K10" xr:uid="{E57EE9B3-4D65-4137-963B-4A263795321A}"/>
  <tableColumns count="11">
    <tableColumn id="1" xr3:uid="{A1E39E0F-3ADD-463F-99FE-D8CFD0AE1E55}" name="BU" dataDxfId="42"/>
    <tableColumn id="2" xr3:uid="{94AD69C2-D949-4039-B279-BF6E6A976470}" name="Month" dataDxfId="41"/>
    <tableColumn id="3" xr3:uid="{FF63C2AE-E0BD-4F11-93E4-384F20B0D1BF}" name="Baseline Revenue" dataDxfId="40"/>
    <tableColumn id="4" xr3:uid="{F1EF607B-6148-4DC8-86A3-BD8A0E9F70B2}" name="Actual Revenue" dataDxfId="39"/>
    <tableColumn id="5" xr3:uid="{F6A4B8A4-1356-47D3-8BFC-29FB98A7DF79}" name="Actual Volume" dataDxfId="38"/>
    <tableColumn id="6" xr3:uid="{9C8DB4A6-705A-45F8-8A42-4B2F92F8E6DC}" name="Baseline Volume" dataDxfId="37"/>
    <tableColumn id="7" xr3:uid="{5D0A2F14-C4A7-47BE-8B36-AAC5BD05CD67}" name="Actual CPV" dataDxfId="36">
      <calculatedColumnFormula>D2/E2</calculatedColumnFormula>
    </tableColumn>
    <tableColumn id="8" xr3:uid="{CFD54AE6-A82F-41C6-A576-5398E9862D9D}" name="Baseline CPV" dataDxfId="35"/>
    <tableColumn id="9" xr3:uid="{BAF3311B-3B7A-4FB8-B8F2-6B9D46FA4061}" name="Target Revenue" dataDxfId="34"/>
    <tableColumn id="10" xr3:uid="{0A929D95-F23D-456F-BFD8-F5AA2922D19B}" name="Target Volume" dataDxfId="33"/>
    <tableColumn id="11" xr3:uid="{306EA786-AF58-40E4-A01E-C482CE51B985}" name="Target CPV" dataDxfId="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7"/>
  <sheetViews>
    <sheetView workbookViewId="0">
      <selection activeCell="B1" sqref="B1"/>
    </sheetView>
  </sheetViews>
  <sheetFormatPr defaultRowHeight="15" x14ac:dyDescent="0.25"/>
  <cols>
    <col min="1" max="1" width="31.5703125" style="3" bestFit="1" customWidth="1"/>
    <col min="2" max="2" width="7.28515625" style="3" bestFit="1" customWidth="1"/>
    <col min="3" max="3" width="15.42578125" style="3" bestFit="1" customWidth="1"/>
    <col min="4" max="4" width="46.5703125" style="3" bestFit="1" customWidth="1"/>
    <col min="5" max="5" width="20.85546875" style="3" bestFit="1" customWidth="1"/>
    <col min="6" max="6" width="24" style="3" bestFit="1" customWidth="1"/>
    <col min="7" max="7" width="19" style="3" bestFit="1" customWidth="1"/>
    <col min="8" max="8" width="25" style="3" bestFit="1" customWidth="1"/>
    <col min="9" max="9" width="22.42578125" style="3" bestFit="1" customWidth="1"/>
    <col min="10" max="10" width="21.42578125" style="3" bestFit="1" customWidth="1"/>
    <col min="11" max="11" width="17.140625" style="3" bestFit="1" customWidth="1"/>
    <col min="12" max="12" width="25.28515625" style="3" bestFit="1" customWidth="1"/>
    <col min="13" max="13" width="20.42578125" style="3" bestFit="1" customWidth="1"/>
    <col min="14" max="14" width="26.28515625" style="3" bestFit="1" customWidth="1"/>
    <col min="15" max="15" width="22.42578125" style="3" bestFit="1" customWidth="1"/>
    <col min="16" max="16" width="21.42578125" style="3" bestFit="1" customWidth="1"/>
    <col min="17" max="17" width="17.140625" style="3" bestFit="1" customWidth="1"/>
  </cols>
  <sheetData>
    <row r="1" spans="1:17" ht="1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9.5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19</v>
      </c>
      <c r="G2" s="2">
        <v>22743.42</v>
      </c>
      <c r="H2" s="2">
        <v>432124.98</v>
      </c>
      <c r="I2" s="2">
        <v>1862747.0299999993</v>
      </c>
      <c r="J2" s="2">
        <v>33</v>
      </c>
      <c r="K2" s="2">
        <v>56446.879696969678</v>
      </c>
      <c r="L2" s="2">
        <v>52</v>
      </c>
      <c r="M2" s="2">
        <v>15994.613076923082</v>
      </c>
      <c r="N2" s="2">
        <v>831719.88000000024</v>
      </c>
      <c r="O2" s="2">
        <v>1862747.0299999993</v>
      </c>
      <c r="P2" s="2">
        <f>MAX(L2,J2,F2)</f>
        <v>52</v>
      </c>
      <c r="Q2" s="2">
        <f>O2/P2</f>
        <v>35822.058269230758</v>
      </c>
    </row>
    <row r="3" spans="1:17" ht="19.5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22</v>
      </c>
      <c r="F3" s="2">
        <v>57</v>
      </c>
      <c r="G3" s="2">
        <v>73905.697543859642</v>
      </c>
      <c r="H3" s="2">
        <v>4212624.76</v>
      </c>
      <c r="I3" s="2">
        <v>4341952.9899999946</v>
      </c>
      <c r="J3" s="2">
        <v>74</v>
      </c>
      <c r="K3" s="2">
        <v>58675.040405405336</v>
      </c>
      <c r="L3" s="2">
        <v>49</v>
      </c>
      <c r="M3" s="2">
        <v>28735.79265306122</v>
      </c>
      <c r="N3" s="2">
        <v>1408053.8399999999</v>
      </c>
      <c r="O3" s="2">
        <v>4341952.9899999946</v>
      </c>
      <c r="P3" s="2">
        <f t="shared" ref="P3:P66" si="0">MAX(L3,J3,F3)</f>
        <v>74</v>
      </c>
      <c r="Q3" s="2">
        <f t="shared" ref="Q3:Q65" si="1">O3/P3</f>
        <v>58675.040405405336</v>
      </c>
    </row>
    <row r="4" spans="1:17" ht="19.5" x14ac:dyDescent="0.25">
      <c r="A4" s="2" t="s">
        <v>17</v>
      </c>
      <c r="B4" s="2" t="s">
        <v>18</v>
      </c>
      <c r="C4" s="2" t="s">
        <v>19</v>
      </c>
      <c r="D4" s="2" t="s">
        <v>23</v>
      </c>
      <c r="E4" s="2" t="s">
        <v>21</v>
      </c>
      <c r="F4" s="2">
        <v>401</v>
      </c>
      <c r="G4" s="2">
        <v>6175.7805735660877</v>
      </c>
      <c r="H4" s="2">
        <v>2476488.0100000012</v>
      </c>
      <c r="I4" s="2">
        <v>2297747.599999994</v>
      </c>
      <c r="J4" s="2">
        <v>339</v>
      </c>
      <c r="K4" s="2">
        <v>6778.0165191740234</v>
      </c>
      <c r="L4" s="2">
        <v>366</v>
      </c>
      <c r="M4" s="2">
        <v>4242.9284426229506</v>
      </c>
      <c r="N4" s="2">
        <v>1552911.8099999998</v>
      </c>
      <c r="O4" s="2">
        <v>2476488.0100000012</v>
      </c>
      <c r="P4" s="2">
        <f t="shared" si="0"/>
        <v>401</v>
      </c>
      <c r="Q4" s="2">
        <f t="shared" si="1"/>
        <v>6175.7805735660877</v>
      </c>
    </row>
    <row r="5" spans="1:17" ht="19.5" x14ac:dyDescent="0.25">
      <c r="A5" s="2" t="s">
        <v>17</v>
      </c>
      <c r="B5" s="2" t="s">
        <v>18</v>
      </c>
      <c r="C5" s="2" t="s">
        <v>19</v>
      </c>
      <c r="D5" s="2" t="s">
        <v>23</v>
      </c>
      <c r="E5" s="2" t="s">
        <v>22</v>
      </c>
      <c r="F5" s="2">
        <v>2769</v>
      </c>
      <c r="G5" s="2">
        <v>4599.23106536654</v>
      </c>
      <c r="H5" s="2">
        <v>12735270.819999948</v>
      </c>
      <c r="I5" s="2">
        <v>13142663.600000007</v>
      </c>
      <c r="J5" s="2">
        <v>2649</v>
      </c>
      <c r="K5" s="2">
        <v>4961.3679124197834</v>
      </c>
      <c r="L5" s="2">
        <v>2054</v>
      </c>
      <c r="M5" s="2">
        <v>3006.8343281402163</v>
      </c>
      <c r="N5" s="2">
        <v>6176037.7100000046</v>
      </c>
      <c r="O5" s="2">
        <v>13142663.600000007</v>
      </c>
      <c r="P5" s="2">
        <f t="shared" si="0"/>
        <v>2769</v>
      </c>
      <c r="Q5" s="2">
        <f t="shared" si="1"/>
        <v>4746.3573853376693</v>
      </c>
    </row>
    <row r="6" spans="1:17" ht="19.5" x14ac:dyDescent="0.25">
      <c r="A6" s="2" t="s">
        <v>17</v>
      </c>
      <c r="B6" s="2" t="s">
        <v>18</v>
      </c>
      <c r="C6" s="2" t="s">
        <v>19</v>
      </c>
      <c r="D6" s="2" t="s">
        <v>24</v>
      </c>
      <c r="E6" s="2" t="s">
        <v>21</v>
      </c>
      <c r="F6" s="2"/>
      <c r="G6" s="2">
        <v>0</v>
      </c>
      <c r="H6" s="2">
        <v>370664.05999999988</v>
      </c>
      <c r="I6" s="2">
        <v>407746.62000000034</v>
      </c>
      <c r="J6" s="2"/>
      <c r="K6" s="2">
        <v>0</v>
      </c>
      <c r="L6" s="2"/>
      <c r="M6" s="2">
        <v>0</v>
      </c>
      <c r="N6" s="2">
        <v>218520.90999999997</v>
      </c>
      <c r="O6" s="2">
        <v>407746.62000000034</v>
      </c>
      <c r="P6" s="2">
        <f t="shared" si="0"/>
        <v>0</v>
      </c>
      <c r="Q6" s="2">
        <v>0</v>
      </c>
    </row>
    <row r="7" spans="1:17" ht="19.5" x14ac:dyDescent="0.25">
      <c r="A7" s="2" t="s">
        <v>17</v>
      </c>
      <c r="B7" s="2" t="s">
        <v>18</v>
      </c>
      <c r="C7" s="2" t="s">
        <v>19</v>
      </c>
      <c r="D7" s="2" t="s">
        <v>24</v>
      </c>
      <c r="E7" s="2" t="s">
        <v>22</v>
      </c>
      <c r="F7" s="2"/>
      <c r="G7" s="2">
        <v>0</v>
      </c>
      <c r="H7" s="2">
        <v>5126927.2400000095</v>
      </c>
      <c r="I7" s="2">
        <v>4562487.5300000245</v>
      </c>
      <c r="J7" s="2"/>
      <c r="K7" s="2">
        <v>0</v>
      </c>
      <c r="L7" s="2"/>
      <c r="M7" s="2">
        <v>0</v>
      </c>
      <c r="N7" s="2">
        <v>2940335.6699999995</v>
      </c>
      <c r="O7" s="2">
        <v>5126927.2400000095</v>
      </c>
      <c r="P7" s="2">
        <f t="shared" si="0"/>
        <v>0</v>
      </c>
      <c r="Q7" s="2">
        <v>0</v>
      </c>
    </row>
    <row r="8" spans="1:17" ht="19.5" x14ac:dyDescent="0.25">
      <c r="A8" s="2" t="s">
        <v>17</v>
      </c>
      <c r="B8" s="2" t="s">
        <v>18</v>
      </c>
      <c r="C8" s="2" t="s">
        <v>19</v>
      </c>
      <c r="D8" s="2" t="s">
        <v>25</v>
      </c>
      <c r="E8" s="2" t="s">
        <v>21</v>
      </c>
      <c r="F8" s="2">
        <v>25</v>
      </c>
      <c r="G8" s="2">
        <v>89423.735999999975</v>
      </c>
      <c r="H8" s="2">
        <v>2235593.3999999994</v>
      </c>
      <c r="I8" s="2">
        <v>2029327.2100000083</v>
      </c>
      <c r="J8" s="2">
        <v>17</v>
      </c>
      <c r="K8" s="2">
        <v>119372.1888235299</v>
      </c>
      <c r="L8" s="2">
        <v>18</v>
      </c>
      <c r="M8" s="2">
        <v>38657.890555555554</v>
      </c>
      <c r="N8" s="2">
        <v>695842.02999999991</v>
      </c>
      <c r="O8" s="2">
        <v>2235593.3999999994</v>
      </c>
      <c r="P8" s="2">
        <f t="shared" si="0"/>
        <v>25</v>
      </c>
      <c r="Q8" s="2">
        <f t="shared" si="1"/>
        <v>89423.735999999975</v>
      </c>
    </row>
    <row r="9" spans="1:17" ht="19.5" x14ac:dyDescent="0.25">
      <c r="A9" s="2" t="s">
        <v>17</v>
      </c>
      <c r="B9" s="2" t="s">
        <v>18</v>
      </c>
      <c r="C9" s="2" t="s">
        <v>19</v>
      </c>
      <c r="D9" s="2" t="s">
        <v>25</v>
      </c>
      <c r="E9" s="2" t="s">
        <v>22</v>
      </c>
      <c r="F9" s="2">
        <v>104</v>
      </c>
      <c r="G9" s="2">
        <v>83247.259999999995</v>
      </c>
      <c r="H9" s="2">
        <v>8657715.0399999991</v>
      </c>
      <c r="I9" s="2">
        <v>9415013.5500001144</v>
      </c>
      <c r="J9" s="2">
        <v>102</v>
      </c>
      <c r="K9" s="2">
        <v>92304.054411765828</v>
      </c>
      <c r="L9" s="2">
        <v>91</v>
      </c>
      <c r="M9" s="2">
        <v>67641.060439560417</v>
      </c>
      <c r="N9" s="2">
        <v>6155336.4999999981</v>
      </c>
      <c r="O9" s="2">
        <v>9415013.5500001144</v>
      </c>
      <c r="P9" s="2">
        <f t="shared" si="0"/>
        <v>104</v>
      </c>
      <c r="Q9" s="2">
        <f t="shared" si="1"/>
        <v>90528.976442308791</v>
      </c>
    </row>
    <row r="10" spans="1:17" ht="19.5" x14ac:dyDescent="0.25">
      <c r="A10" s="2" t="s">
        <v>17</v>
      </c>
      <c r="B10" s="2" t="s">
        <v>18</v>
      </c>
      <c r="C10" s="2" t="s">
        <v>19</v>
      </c>
      <c r="D10" s="2" t="s">
        <v>26</v>
      </c>
      <c r="E10" s="2" t="s">
        <v>21</v>
      </c>
      <c r="F10" s="2">
        <v>88</v>
      </c>
      <c r="G10" s="2">
        <v>23399.986250000002</v>
      </c>
      <c r="H10" s="2">
        <v>2059198.7900000003</v>
      </c>
      <c r="I10" s="2">
        <v>2487585.5800000085</v>
      </c>
      <c r="J10" s="2">
        <v>76</v>
      </c>
      <c r="K10" s="2">
        <v>32731.389210526428</v>
      </c>
      <c r="L10" s="2">
        <v>121</v>
      </c>
      <c r="M10" s="2">
        <v>12779.875619834715</v>
      </c>
      <c r="N10" s="2">
        <v>1546364.9500000004</v>
      </c>
      <c r="O10" s="2">
        <v>2487585.5800000085</v>
      </c>
      <c r="P10" s="2">
        <f t="shared" si="0"/>
        <v>121</v>
      </c>
      <c r="Q10" s="2">
        <f t="shared" si="1"/>
        <v>20558.558512396765</v>
      </c>
    </row>
    <row r="11" spans="1:17" ht="19.5" x14ac:dyDescent="0.25">
      <c r="A11" s="2" t="s">
        <v>17</v>
      </c>
      <c r="B11" s="2" t="s">
        <v>18</v>
      </c>
      <c r="C11" s="2" t="s">
        <v>19</v>
      </c>
      <c r="D11" s="2" t="s">
        <v>26</v>
      </c>
      <c r="E11" s="2" t="s">
        <v>22</v>
      </c>
      <c r="F11" s="2">
        <v>840</v>
      </c>
      <c r="G11" s="2">
        <v>26503.836666666673</v>
      </c>
      <c r="H11" s="2">
        <v>22263222.800000004</v>
      </c>
      <c r="I11" s="2">
        <v>18597719.17999978</v>
      </c>
      <c r="J11" s="2">
        <v>726</v>
      </c>
      <c r="K11" s="2">
        <v>25616.693085399147</v>
      </c>
      <c r="L11" s="2">
        <v>693</v>
      </c>
      <c r="M11" s="2">
        <v>22212.193434343397</v>
      </c>
      <c r="N11" s="2">
        <v>15393050.049999975</v>
      </c>
      <c r="O11" s="2">
        <v>22263222.800000004</v>
      </c>
      <c r="P11" s="2">
        <f t="shared" si="0"/>
        <v>840</v>
      </c>
      <c r="Q11" s="2">
        <f t="shared" si="1"/>
        <v>26503.836666666673</v>
      </c>
    </row>
    <row r="12" spans="1:17" ht="19.5" x14ac:dyDescent="0.25">
      <c r="A12" s="2" t="s">
        <v>17</v>
      </c>
      <c r="B12" s="2" t="s">
        <v>18</v>
      </c>
      <c r="C12" s="2" t="s">
        <v>19</v>
      </c>
      <c r="D12" s="2" t="s">
        <v>27</v>
      </c>
      <c r="E12" s="2" t="s">
        <v>21</v>
      </c>
      <c r="F12" s="2">
        <v>4</v>
      </c>
      <c r="G12" s="2">
        <v>42522.704999999987</v>
      </c>
      <c r="H12" s="2">
        <v>170090.81999999995</v>
      </c>
      <c r="I12" s="2"/>
      <c r="J12" s="2"/>
      <c r="K12" s="2"/>
      <c r="L12" s="2">
        <v>1</v>
      </c>
      <c r="M12" s="2">
        <v>24945.19</v>
      </c>
      <c r="N12" s="2">
        <v>24945.19</v>
      </c>
      <c r="O12" s="2">
        <v>170090.81999999995</v>
      </c>
      <c r="P12" s="2">
        <f t="shared" si="0"/>
        <v>4</v>
      </c>
      <c r="Q12" s="2">
        <f t="shared" si="1"/>
        <v>42522.704999999987</v>
      </c>
    </row>
    <row r="13" spans="1:17" ht="19.5" x14ac:dyDescent="0.25">
      <c r="A13" s="2" t="s">
        <v>17</v>
      </c>
      <c r="B13" s="2" t="s">
        <v>18</v>
      </c>
      <c r="C13" s="2" t="s">
        <v>19</v>
      </c>
      <c r="D13" s="2" t="s">
        <v>27</v>
      </c>
      <c r="E13" s="2" t="s">
        <v>22</v>
      </c>
      <c r="F13" s="2">
        <v>5</v>
      </c>
      <c r="G13" s="2">
        <v>26942.473999999998</v>
      </c>
      <c r="H13" s="2">
        <v>134712.37</v>
      </c>
      <c r="I13" s="2">
        <v>277634.46999999997</v>
      </c>
      <c r="J13" s="2">
        <v>5</v>
      </c>
      <c r="K13" s="2">
        <v>55526.893999999993</v>
      </c>
      <c r="L13" s="2">
        <v>2</v>
      </c>
      <c r="M13" s="2">
        <v>39992.089999999997</v>
      </c>
      <c r="N13" s="2">
        <v>79984.179999999993</v>
      </c>
      <c r="O13" s="2">
        <v>277634.46999999997</v>
      </c>
      <c r="P13" s="2">
        <f t="shared" si="0"/>
        <v>5</v>
      </c>
      <c r="Q13" s="2">
        <f t="shared" si="1"/>
        <v>55526.893999999993</v>
      </c>
    </row>
    <row r="14" spans="1:17" ht="19.5" x14ac:dyDescent="0.25">
      <c r="A14" s="2" t="s">
        <v>17</v>
      </c>
      <c r="B14" s="2" t="s">
        <v>18</v>
      </c>
      <c r="C14" s="2" t="s">
        <v>19</v>
      </c>
      <c r="D14" s="2" t="s">
        <v>28</v>
      </c>
      <c r="E14" s="2" t="s">
        <v>21</v>
      </c>
      <c r="F14" s="2">
        <v>2654</v>
      </c>
      <c r="G14" s="2">
        <v>905.88362094951026</v>
      </c>
      <c r="H14" s="2">
        <v>2404215.1300000004</v>
      </c>
      <c r="I14" s="2">
        <v>1877700.9100000036</v>
      </c>
      <c r="J14" s="2">
        <v>2048</v>
      </c>
      <c r="K14" s="2">
        <v>916.84614746093928</v>
      </c>
      <c r="L14" s="2">
        <v>2071</v>
      </c>
      <c r="M14" s="2">
        <v>758.76189763399304</v>
      </c>
      <c r="N14" s="2">
        <v>1571395.8899999997</v>
      </c>
      <c r="O14" s="2">
        <v>2404215.1300000004</v>
      </c>
      <c r="P14" s="2">
        <f t="shared" si="0"/>
        <v>2654</v>
      </c>
      <c r="Q14" s="2">
        <f t="shared" si="1"/>
        <v>905.88362094951026</v>
      </c>
    </row>
    <row r="15" spans="1:17" ht="19.5" x14ac:dyDescent="0.25">
      <c r="A15" s="2" t="s">
        <v>17</v>
      </c>
      <c r="B15" s="2" t="s">
        <v>18</v>
      </c>
      <c r="C15" s="2" t="s">
        <v>19</v>
      </c>
      <c r="D15" s="2" t="s">
        <v>28</v>
      </c>
      <c r="E15" s="2" t="s">
        <v>22</v>
      </c>
      <c r="F15" s="2">
        <v>29117</v>
      </c>
      <c r="G15" s="2">
        <v>1114.9347065288314</v>
      </c>
      <c r="H15" s="2">
        <v>32463553.849999987</v>
      </c>
      <c r="I15" s="2">
        <v>27980554.74000055</v>
      </c>
      <c r="J15" s="2">
        <v>23114</v>
      </c>
      <c r="K15" s="2">
        <v>1210.5457618759431</v>
      </c>
      <c r="L15" s="2">
        <v>22285</v>
      </c>
      <c r="M15" s="2">
        <v>807.70504599506455</v>
      </c>
      <c r="N15" s="2">
        <v>17999706.950000014</v>
      </c>
      <c r="O15" s="2">
        <v>32463553.849999987</v>
      </c>
      <c r="P15" s="2">
        <f t="shared" si="0"/>
        <v>29117</v>
      </c>
      <c r="Q15" s="2">
        <f t="shared" si="1"/>
        <v>1114.9347065288314</v>
      </c>
    </row>
    <row r="16" spans="1:17" ht="19.5" x14ac:dyDescent="0.25">
      <c r="A16" s="2" t="s">
        <v>17</v>
      </c>
      <c r="B16" s="2" t="s">
        <v>18</v>
      </c>
      <c r="C16" s="2" t="s">
        <v>19</v>
      </c>
      <c r="D16" s="2" t="s">
        <v>29</v>
      </c>
      <c r="E16" s="2" t="s">
        <v>22</v>
      </c>
      <c r="F16" s="2"/>
      <c r="G16" s="2"/>
      <c r="H16" s="2"/>
      <c r="I16" s="2">
        <v>55348.550000000025</v>
      </c>
      <c r="J16" s="2">
        <v>2</v>
      </c>
      <c r="K16" s="2">
        <v>27674.275000000012</v>
      </c>
      <c r="L16" s="2"/>
      <c r="M16" s="2"/>
      <c r="N16" s="2"/>
      <c r="O16" s="2">
        <v>55348.550000000025</v>
      </c>
      <c r="P16" s="2">
        <f t="shared" si="0"/>
        <v>2</v>
      </c>
      <c r="Q16" s="2">
        <f t="shared" si="1"/>
        <v>27674.275000000012</v>
      </c>
    </row>
    <row r="17" spans="1:17" ht="19.5" x14ac:dyDescent="0.25">
      <c r="A17" s="2" t="s">
        <v>17</v>
      </c>
      <c r="B17" s="2" t="s">
        <v>18</v>
      </c>
      <c r="C17" s="2" t="s">
        <v>30</v>
      </c>
      <c r="D17" s="2" t="s">
        <v>20</v>
      </c>
      <c r="E17" s="2" t="s">
        <v>21</v>
      </c>
      <c r="F17" s="2">
        <v>19</v>
      </c>
      <c r="G17" s="2">
        <v>22743.42</v>
      </c>
      <c r="H17" s="2">
        <v>432124.98</v>
      </c>
      <c r="I17" s="2">
        <v>361180.04999999964</v>
      </c>
      <c r="J17" s="2">
        <v>16</v>
      </c>
      <c r="K17" s="2">
        <v>22573.753124999977</v>
      </c>
      <c r="L17" s="2">
        <v>37</v>
      </c>
      <c r="M17" s="2">
        <v>33247.307027027033</v>
      </c>
      <c r="N17" s="2">
        <v>1230150.3600000001</v>
      </c>
      <c r="O17" s="2">
        <v>1230150.3600000001</v>
      </c>
      <c r="P17" s="2">
        <f t="shared" si="0"/>
        <v>37</v>
      </c>
      <c r="Q17" s="2">
        <f t="shared" si="1"/>
        <v>33247.307027027033</v>
      </c>
    </row>
    <row r="18" spans="1:17" ht="19.5" x14ac:dyDescent="0.25">
      <c r="A18" s="2" t="s">
        <v>17</v>
      </c>
      <c r="B18" s="2" t="s">
        <v>18</v>
      </c>
      <c r="C18" s="2" t="s">
        <v>30</v>
      </c>
      <c r="D18" s="2" t="s">
        <v>20</v>
      </c>
      <c r="E18" s="2" t="s">
        <v>22</v>
      </c>
      <c r="F18" s="2">
        <v>56</v>
      </c>
      <c r="G18" s="2">
        <v>73814.144285714283</v>
      </c>
      <c r="H18" s="2">
        <v>4133592.0799999996</v>
      </c>
      <c r="I18" s="2">
        <v>5009944.770000021</v>
      </c>
      <c r="J18" s="2">
        <v>91</v>
      </c>
      <c r="K18" s="2">
        <v>55054.338131868361</v>
      </c>
      <c r="L18" s="2">
        <v>70</v>
      </c>
      <c r="M18" s="2">
        <v>33286.835857142854</v>
      </c>
      <c r="N18" s="2">
        <v>2330078.5099999998</v>
      </c>
      <c r="O18" s="2">
        <v>5009944.770000021</v>
      </c>
      <c r="P18" s="2">
        <f t="shared" si="0"/>
        <v>91</v>
      </c>
      <c r="Q18" s="2">
        <f t="shared" si="1"/>
        <v>55054.338131868361</v>
      </c>
    </row>
    <row r="19" spans="1:17" ht="19.5" x14ac:dyDescent="0.25">
      <c r="A19" s="2" t="s">
        <v>17</v>
      </c>
      <c r="B19" s="2" t="s">
        <v>18</v>
      </c>
      <c r="C19" s="2" t="s">
        <v>30</v>
      </c>
      <c r="D19" s="2" t="s">
        <v>23</v>
      </c>
      <c r="E19" s="2" t="s">
        <v>21</v>
      </c>
      <c r="F19" s="2">
        <v>390</v>
      </c>
      <c r="G19" s="2">
        <v>6015.9565897435932</v>
      </c>
      <c r="H19" s="2">
        <v>2346223.0700000012</v>
      </c>
      <c r="I19" s="2">
        <v>2526806.1600000011</v>
      </c>
      <c r="J19" s="2">
        <v>336</v>
      </c>
      <c r="K19" s="2">
        <v>7520.2564285714316</v>
      </c>
      <c r="L19" s="2">
        <v>318</v>
      </c>
      <c r="M19" s="2">
        <v>4726.8377358490552</v>
      </c>
      <c r="N19" s="2">
        <v>1503134.3999999994</v>
      </c>
      <c r="O19" s="2">
        <v>2526806.1600000011</v>
      </c>
      <c r="P19" s="2">
        <f t="shared" si="0"/>
        <v>390</v>
      </c>
      <c r="Q19" s="2">
        <f t="shared" si="1"/>
        <v>6478.9901538461563</v>
      </c>
    </row>
    <row r="20" spans="1:17" ht="19.5" x14ac:dyDescent="0.25">
      <c r="A20" s="2" t="s">
        <v>17</v>
      </c>
      <c r="B20" s="2" t="s">
        <v>18</v>
      </c>
      <c r="C20" s="2" t="s">
        <v>30</v>
      </c>
      <c r="D20" s="2" t="s">
        <v>23</v>
      </c>
      <c r="E20" s="2" t="s">
        <v>22</v>
      </c>
      <c r="F20" s="2">
        <v>2675</v>
      </c>
      <c r="G20" s="2">
        <v>4598.8354878504488</v>
      </c>
      <c r="H20" s="2">
        <v>12301884.929999951</v>
      </c>
      <c r="I20" s="2">
        <v>14155933.580000661</v>
      </c>
      <c r="J20" s="2">
        <v>2711</v>
      </c>
      <c r="K20" s="2">
        <v>5221.6649133163637</v>
      </c>
      <c r="L20" s="2">
        <v>1795</v>
      </c>
      <c r="M20" s="2">
        <v>3684.8224066852367</v>
      </c>
      <c r="N20" s="2">
        <v>6614256.2199999997</v>
      </c>
      <c r="O20" s="2">
        <v>14155933.580000661</v>
      </c>
      <c r="P20" s="2">
        <f t="shared" si="0"/>
        <v>2711</v>
      </c>
      <c r="Q20" s="2">
        <f t="shared" si="1"/>
        <v>5221.6649133163637</v>
      </c>
    </row>
    <row r="21" spans="1:17" ht="19.5" x14ac:dyDescent="0.25">
      <c r="A21" s="2" t="s">
        <v>17</v>
      </c>
      <c r="B21" s="2" t="s">
        <v>18</v>
      </c>
      <c r="C21" s="2" t="s">
        <v>30</v>
      </c>
      <c r="D21" s="2" t="s">
        <v>24</v>
      </c>
      <c r="E21" s="2" t="s">
        <v>21</v>
      </c>
      <c r="F21" s="2"/>
      <c r="G21" s="2">
        <v>0</v>
      </c>
      <c r="H21" s="2">
        <v>363637.02999999997</v>
      </c>
      <c r="I21" s="2">
        <v>675388.93999999855</v>
      </c>
      <c r="J21" s="2"/>
      <c r="K21" s="2">
        <v>0</v>
      </c>
      <c r="L21" s="2"/>
      <c r="M21" s="2">
        <v>0</v>
      </c>
      <c r="N21" s="2">
        <v>190752.14</v>
      </c>
      <c r="O21" s="2">
        <v>675388.93999999855</v>
      </c>
      <c r="P21" s="2">
        <f t="shared" si="0"/>
        <v>0</v>
      </c>
      <c r="Q21" s="2"/>
    </row>
    <row r="22" spans="1:17" ht="19.5" x14ac:dyDescent="0.25">
      <c r="A22" s="2" t="s">
        <v>17</v>
      </c>
      <c r="B22" s="2" t="s">
        <v>18</v>
      </c>
      <c r="C22" s="2" t="s">
        <v>30</v>
      </c>
      <c r="D22" s="2" t="s">
        <v>24</v>
      </c>
      <c r="E22" s="2" t="s">
        <v>22</v>
      </c>
      <c r="F22" s="2"/>
      <c r="G22" s="2">
        <v>0</v>
      </c>
      <c r="H22" s="2">
        <v>5017035.8800000083</v>
      </c>
      <c r="I22" s="2">
        <v>5108156.4099998772</v>
      </c>
      <c r="J22" s="2"/>
      <c r="K22" s="2">
        <v>0</v>
      </c>
      <c r="L22" s="2"/>
      <c r="M22" s="2">
        <v>0</v>
      </c>
      <c r="N22" s="2">
        <v>2234916.0100000002</v>
      </c>
      <c r="O22" s="2">
        <v>5108156.4099998772</v>
      </c>
      <c r="P22" s="2">
        <f t="shared" si="0"/>
        <v>0</v>
      </c>
      <c r="Q22" s="2"/>
    </row>
    <row r="23" spans="1:17" ht="19.5" x14ac:dyDescent="0.25">
      <c r="A23" s="2" t="s">
        <v>17</v>
      </c>
      <c r="B23" s="2" t="s">
        <v>18</v>
      </c>
      <c r="C23" s="2" t="s">
        <v>30</v>
      </c>
      <c r="D23" s="2" t="s">
        <v>25</v>
      </c>
      <c r="E23" s="2" t="s">
        <v>21</v>
      </c>
      <c r="F23" s="2">
        <v>21</v>
      </c>
      <c r="G23" s="2">
        <v>87717.649047619052</v>
      </c>
      <c r="H23" s="2">
        <v>1842070.6300000001</v>
      </c>
      <c r="I23" s="2">
        <v>2023929.8800000125</v>
      </c>
      <c r="J23" s="2">
        <v>20</v>
      </c>
      <c r="K23" s="2">
        <v>101196.49400000062</v>
      </c>
      <c r="L23" s="2">
        <v>11</v>
      </c>
      <c r="M23" s="2">
        <v>23300.836363636361</v>
      </c>
      <c r="N23" s="2">
        <v>256309.19999999995</v>
      </c>
      <c r="O23" s="2">
        <v>2023929.8800000125</v>
      </c>
      <c r="P23" s="2">
        <f t="shared" si="0"/>
        <v>21</v>
      </c>
      <c r="Q23" s="2">
        <f t="shared" si="1"/>
        <v>96377.613333333924</v>
      </c>
    </row>
    <row r="24" spans="1:17" ht="19.5" x14ac:dyDescent="0.25">
      <c r="A24" s="2" t="s">
        <v>17</v>
      </c>
      <c r="B24" s="2" t="s">
        <v>18</v>
      </c>
      <c r="C24" s="2" t="s">
        <v>30</v>
      </c>
      <c r="D24" s="2" t="s">
        <v>25</v>
      </c>
      <c r="E24" s="2" t="s">
        <v>22</v>
      </c>
      <c r="F24" s="2">
        <v>102</v>
      </c>
      <c r="G24" s="2">
        <v>82659.618627450982</v>
      </c>
      <c r="H24" s="2">
        <v>8431281.0999999996</v>
      </c>
      <c r="I24" s="2">
        <v>10358776.730000023</v>
      </c>
      <c r="J24" s="2">
        <v>127</v>
      </c>
      <c r="K24" s="2">
        <v>81565.171102362379</v>
      </c>
      <c r="L24" s="2">
        <v>80</v>
      </c>
      <c r="M24" s="2">
        <v>76041.055374999996</v>
      </c>
      <c r="N24" s="2">
        <v>6083284.4299999997</v>
      </c>
      <c r="O24" s="2">
        <v>10358776.730000023</v>
      </c>
      <c r="P24" s="2">
        <f t="shared" si="0"/>
        <v>127</v>
      </c>
      <c r="Q24" s="2">
        <f t="shared" si="1"/>
        <v>81565.171102362379</v>
      </c>
    </row>
    <row r="25" spans="1:17" ht="19.5" x14ac:dyDescent="0.25">
      <c r="A25" s="2" t="s">
        <v>17</v>
      </c>
      <c r="B25" s="2" t="s">
        <v>18</v>
      </c>
      <c r="C25" s="2" t="s">
        <v>30</v>
      </c>
      <c r="D25" s="2" t="s">
        <v>26</v>
      </c>
      <c r="E25" s="2" t="s">
        <v>21</v>
      </c>
      <c r="F25" s="2">
        <v>87</v>
      </c>
      <c r="G25" s="2">
        <v>22892.284827586209</v>
      </c>
      <c r="H25" s="2">
        <v>1991628.7800000003</v>
      </c>
      <c r="I25" s="2">
        <v>2430321.2700000047</v>
      </c>
      <c r="J25" s="2">
        <v>89</v>
      </c>
      <c r="K25" s="2">
        <v>27306.980561797805</v>
      </c>
      <c r="L25" s="2">
        <v>101</v>
      </c>
      <c r="M25" s="2">
        <v>17806.960693069308</v>
      </c>
      <c r="N25" s="2">
        <v>1798503.03</v>
      </c>
      <c r="O25" s="2">
        <v>2430321.2700000047</v>
      </c>
      <c r="P25" s="2">
        <f t="shared" si="0"/>
        <v>101</v>
      </c>
      <c r="Q25" s="2">
        <f t="shared" si="1"/>
        <v>24062.586831683213</v>
      </c>
    </row>
    <row r="26" spans="1:17" ht="19.5" x14ac:dyDescent="0.25">
      <c r="A26" s="2" t="s">
        <v>17</v>
      </c>
      <c r="B26" s="2" t="s">
        <v>18</v>
      </c>
      <c r="C26" s="2" t="s">
        <v>30</v>
      </c>
      <c r="D26" s="2" t="s">
        <v>26</v>
      </c>
      <c r="E26" s="2" t="s">
        <v>22</v>
      </c>
      <c r="F26" s="2">
        <v>801</v>
      </c>
      <c r="G26" s="2">
        <v>26803.647215980032</v>
      </c>
      <c r="H26" s="2">
        <v>21469721.420000006</v>
      </c>
      <c r="I26" s="2">
        <v>21945701.32999938</v>
      </c>
      <c r="J26" s="2">
        <v>850</v>
      </c>
      <c r="K26" s="2">
        <v>25818.472152940445</v>
      </c>
      <c r="L26" s="2">
        <v>482</v>
      </c>
      <c r="M26" s="2">
        <v>21986.162468879644</v>
      </c>
      <c r="N26" s="2">
        <v>10597330.309999987</v>
      </c>
      <c r="O26" s="2">
        <v>21945701.32999938</v>
      </c>
      <c r="P26" s="2">
        <f t="shared" si="0"/>
        <v>850</v>
      </c>
      <c r="Q26" s="2">
        <f t="shared" si="1"/>
        <v>25818.472152940445</v>
      </c>
    </row>
    <row r="27" spans="1:17" ht="19.5" x14ac:dyDescent="0.25">
      <c r="A27" s="2" t="s">
        <v>17</v>
      </c>
      <c r="B27" s="2" t="s">
        <v>18</v>
      </c>
      <c r="C27" s="2" t="s">
        <v>30</v>
      </c>
      <c r="D27" s="2" t="s">
        <v>27</v>
      </c>
      <c r="E27" s="2" t="s">
        <v>21</v>
      </c>
      <c r="F27" s="2">
        <v>4</v>
      </c>
      <c r="G27" s="2">
        <v>42443.327499999992</v>
      </c>
      <c r="H27" s="2">
        <v>169773.30999999997</v>
      </c>
      <c r="I27" s="2">
        <v>7796.7999999999993</v>
      </c>
      <c r="J27" s="2">
        <v>2</v>
      </c>
      <c r="K27" s="2">
        <v>3898.3999999999996</v>
      </c>
      <c r="L27" s="2"/>
      <c r="M27" s="2"/>
      <c r="N27" s="2"/>
      <c r="O27" s="2">
        <v>169773.30999999997</v>
      </c>
      <c r="P27" s="2">
        <f t="shared" si="0"/>
        <v>4</v>
      </c>
      <c r="Q27" s="2">
        <f t="shared" si="1"/>
        <v>42443.327499999992</v>
      </c>
    </row>
    <row r="28" spans="1:17" ht="19.5" x14ac:dyDescent="0.25">
      <c r="A28" s="2" t="s">
        <v>17</v>
      </c>
      <c r="B28" s="2" t="s">
        <v>18</v>
      </c>
      <c r="C28" s="2" t="s">
        <v>30</v>
      </c>
      <c r="D28" s="2" t="s">
        <v>27</v>
      </c>
      <c r="E28" s="2" t="s">
        <v>22</v>
      </c>
      <c r="F28" s="2">
        <v>5</v>
      </c>
      <c r="G28" s="2">
        <v>26942.473999999998</v>
      </c>
      <c r="H28" s="2">
        <v>134712.37</v>
      </c>
      <c r="I28" s="2"/>
      <c r="J28" s="2"/>
      <c r="K28" s="2"/>
      <c r="L28" s="2">
        <v>3</v>
      </c>
      <c r="M28" s="2">
        <v>16645.609999999997</v>
      </c>
      <c r="N28" s="2">
        <v>49936.829999999994</v>
      </c>
      <c r="O28" s="2">
        <v>134712.37</v>
      </c>
      <c r="P28" s="2">
        <f t="shared" si="0"/>
        <v>5</v>
      </c>
      <c r="Q28" s="2">
        <f t="shared" si="1"/>
        <v>26942.473999999998</v>
      </c>
    </row>
    <row r="29" spans="1:17" ht="19.5" x14ac:dyDescent="0.25">
      <c r="A29" s="2" t="s">
        <v>17</v>
      </c>
      <c r="B29" s="2" t="s">
        <v>18</v>
      </c>
      <c r="C29" s="2" t="s">
        <v>30</v>
      </c>
      <c r="D29" s="2" t="s">
        <v>28</v>
      </c>
      <c r="E29" s="2" t="s">
        <v>21</v>
      </c>
      <c r="F29" s="2">
        <v>2575</v>
      </c>
      <c r="G29" s="2">
        <v>915.57478058252445</v>
      </c>
      <c r="H29" s="2">
        <v>2357605.0600000005</v>
      </c>
      <c r="I29" s="2">
        <v>2587261.8899999913</v>
      </c>
      <c r="J29" s="2">
        <v>2384</v>
      </c>
      <c r="K29" s="2">
        <v>1085.2608598993252</v>
      </c>
      <c r="L29" s="2">
        <v>2105</v>
      </c>
      <c r="M29" s="2">
        <v>910.50215676959647</v>
      </c>
      <c r="N29" s="2">
        <v>1916607.0400000005</v>
      </c>
      <c r="O29" s="2">
        <v>2587261.8899999913</v>
      </c>
      <c r="P29" s="2">
        <f t="shared" si="0"/>
        <v>2575</v>
      </c>
      <c r="Q29" s="2">
        <f t="shared" si="1"/>
        <v>1004.7618990291228</v>
      </c>
    </row>
    <row r="30" spans="1:17" ht="19.5" x14ac:dyDescent="0.25">
      <c r="A30" s="2" t="s">
        <v>17</v>
      </c>
      <c r="B30" s="2" t="s">
        <v>18</v>
      </c>
      <c r="C30" s="2" t="s">
        <v>30</v>
      </c>
      <c r="D30" s="2" t="s">
        <v>28</v>
      </c>
      <c r="E30" s="2" t="s">
        <v>22</v>
      </c>
      <c r="F30" s="2">
        <v>28383</v>
      </c>
      <c r="G30" s="2">
        <v>1115.5253993587708</v>
      </c>
      <c r="H30" s="2">
        <v>31661957.409999989</v>
      </c>
      <c r="I30" s="2">
        <v>34032723.880000994</v>
      </c>
      <c r="J30" s="2">
        <v>28376</v>
      </c>
      <c r="K30" s="2">
        <v>1199.3488821539679</v>
      </c>
      <c r="L30" s="2">
        <v>16606</v>
      </c>
      <c r="M30" s="2">
        <v>909.17425809948259</v>
      </c>
      <c r="N30" s="2">
        <v>15097747.730000008</v>
      </c>
      <c r="O30" s="2">
        <v>34032723.880000994</v>
      </c>
      <c r="P30" s="2">
        <f t="shared" si="0"/>
        <v>28383</v>
      </c>
      <c r="Q30" s="2">
        <f t="shared" si="1"/>
        <v>1199.0530909347494</v>
      </c>
    </row>
    <row r="31" spans="1:17" ht="19.5" x14ac:dyDescent="0.25">
      <c r="A31" s="2" t="s">
        <v>17</v>
      </c>
      <c r="B31" s="2" t="s">
        <v>18</v>
      </c>
      <c r="C31" s="2" t="s">
        <v>30</v>
      </c>
      <c r="D31" s="2" t="s">
        <v>29</v>
      </c>
      <c r="E31" s="2" t="s">
        <v>22</v>
      </c>
      <c r="F31" s="2"/>
      <c r="G31" s="2"/>
      <c r="H31" s="2"/>
      <c r="I31" s="2">
        <v>67092.709999999963</v>
      </c>
      <c r="J31" s="2">
        <v>2</v>
      </c>
      <c r="K31" s="2">
        <v>33546.354999999981</v>
      </c>
      <c r="L31" s="2"/>
      <c r="M31" s="2"/>
      <c r="N31" s="2"/>
      <c r="O31" s="2">
        <v>67092.709999999963</v>
      </c>
      <c r="P31" s="2">
        <f t="shared" si="0"/>
        <v>2</v>
      </c>
      <c r="Q31" s="2">
        <f t="shared" si="1"/>
        <v>33546.354999999981</v>
      </c>
    </row>
    <row r="32" spans="1:17" ht="19.5" x14ac:dyDescent="0.25">
      <c r="A32" s="2" t="s">
        <v>17</v>
      </c>
      <c r="B32" s="2" t="s">
        <v>18</v>
      </c>
      <c r="C32" s="2" t="s">
        <v>31</v>
      </c>
      <c r="D32" s="2" t="s">
        <v>20</v>
      </c>
      <c r="E32" s="2" t="s">
        <v>21</v>
      </c>
      <c r="F32" s="2">
        <v>19</v>
      </c>
      <c r="G32" s="2">
        <v>22743.42</v>
      </c>
      <c r="H32" s="2">
        <v>432124.98</v>
      </c>
      <c r="I32" s="2">
        <v>192709.15000000005</v>
      </c>
      <c r="J32" s="2">
        <v>4</v>
      </c>
      <c r="K32" s="2">
        <v>48177.287500000013</v>
      </c>
      <c r="L32" s="2">
        <v>36</v>
      </c>
      <c r="M32" s="2">
        <v>29862.102777777782</v>
      </c>
      <c r="N32" s="2">
        <v>1075035.7000000002</v>
      </c>
      <c r="O32" s="2">
        <v>1075035.7000000002</v>
      </c>
      <c r="P32" s="2">
        <f t="shared" si="0"/>
        <v>36</v>
      </c>
      <c r="Q32" s="2">
        <f t="shared" si="1"/>
        <v>29862.102777777782</v>
      </c>
    </row>
    <row r="33" spans="1:17" ht="19.5" x14ac:dyDescent="0.25">
      <c r="A33" s="2" t="s">
        <v>17</v>
      </c>
      <c r="B33" s="2" t="s">
        <v>18</v>
      </c>
      <c r="C33" s="2" t="s">
        <v>31</v>
      </c>
      <c r="D33" s="2" t="s">
        <v>20</v>
      </c>
      <c r="E33" s="2" t="s">
        <v>22</v>
      </c>
      <c r="F33" s="2">
        <v>57</v>
      </c>
      <c r="G33" s="2">
        <v>73905.697543859642</v>
      </c>
      <c r="H33" s="2">
        <v>4212624.76</v>
      </c>
      <c r="I33" s="2">
        <v>1601824.9700000018</v>
      </c>
      <c r="J33" s="2">
        <v>39</v>
      </c>
      <c r="K33" s="2">
        <v>41072.435128205172</v>
      </c>
      <c r="L33" s="2">
        <v>67</v>
      </c>
      <c r="M33" s="2">
        <v>38750.911194029861</v>
      </c>
      <c r="N33" s="2">
        <v>2596311.0500000007</v>
      </c>
      <c r="O33" s="2">
        <v>4212624.76</v>
      </c>
      <c r="P33" s="2">
        <f t="shared" si="0"/>
        <v>67</v>
      </c>
      <c r="Q33" s="2">
        <f t="shared" si="1"/>
        <v>62874.996417910443</v>
      </c>
    </row>
    <row r="34" spans="1:17" ht="19.5" x14ac:dyDescent="0.25">
      <c r="A34" s="2" t="s">
        <v>17</v>
      </c>
      <c r="B34" s="2" t="s">
        <v>18</v>
      </c>
      <c r="C34" s="2" t="s">
        <v>31</v>
      </c>
      <c r="D34" s="2" t="s">
        <v>23</v>
      </c>
      <c r="E34" s="2" t="s">
        <v>21</v>
      </c>
      <c r="F34" s="2">
        <v>401</v>
      </c>
      <c r="G34" s="2">
        <v>6175.7805735660877</v>
      </c>
      <c r="H34" s="2">
        <v>2476488.0100000012</v>
      </c>
      <c r="I34" s="2">
        <v>796148.13999999897</v>
      </c>
      <c r="J34" s="2">
        <v>128</v>
      </c>
      <c r="K34" s="2">
        <v>6219.9073437499919</v>
      </c>
      <c r="L34" s="2">
        <v>392</v>
      </c>
      <c r="M34" s="2">
        <v>4657.2663010204096</v>
      </c>
      <c r="N34" s="2">
        <v>1825648.3900000006</v>
      </c>
      <c r="O34" s="2">
        <v>2476488.0100000012</v>
      </c>
      <c r="P34" s="2">
        <f t="shared" si="0"/>
        <v>401</v>
      </c>
      <c r="Q34" s="2">
        <f t="shared" si="1"/>
        <v>6175.7805735660877</v>
      </c>
    </row>
    <row r="35" spans="1:17" ht="19.5" x14ac:dyDescent="0.25">
      <c r="A35" s="2" t="s">
        <v>17</v>
      </c>
      <c r="B35" s="2" t="s">
        <v>18</v>
      </c>
      <c r="C35" s="2" t="s">
        <v>31</v>
      </c>
      <c r="D35" s="2" t="s">
        <v>23</v>
      </c>
      <c r="E35" s="2" t="s">
        <v>22</v>
      </c>
      <c r="F35" s="2">
        <v>2769</v>
      </c>
      <c r="G35" s="2">
        <v>4599.23106536654</v>
      </c>
      <c r="H35" s="2">
        <v>12735270.819999948</v>
      </c>
      <c r="I35" s="2">
        <v>5580711.33000011</v>
      </c>
      <c r="J35" s="2">
        <v>1110</v>
      </c>
      <c r="K35" s="2">
        <v>5027.667864864964</v>
      </c>
      <c r="L35" s="2">
        <v>2055</v>
      </c>
      <c r="M35" s="2">
        <v>3961.8916204379502</v>
      </c>
      <c r="N35" s="2">
        <v>8141687.2799999882</v>
      </c>
      <c r="O35" s="2">
        <v>12735270.819999948</v>
      </c>
      <c r="P35" s="2">
        <f t="shared" si="0"/>
        <v>2769</v>
      </c>
      <c r="Q35" s="2">
        <f t="shared" si="1"/>
        <v>4599.23106536654</v>
      </c>
    </row>
    <row r="36" spans="1:17" ht="19.5" x14ac:dyDescent="0.25">
      <c r="A36" s="2" t="s">
        <v>17</v>
      </c>
      <c r="B36" s="2" t="s">
        <v>18</v>
      </c>
      <c r="C36" s="2" t="s">
        <v>31</v>
      </c>
      <c r="D36" s="2" t="s">
        <v>24</v>
      </c>
      <c r="E36" s="2" t="s">
        <v>21</v>
      </c>
      <c r="F36" s="2"/>
      <c r="G36" s="2">
        <v>0</v>
      </c>
      <c r="H36" s="2">
        <v>370664.05999999988</v>
      </c>
      <c r="I36" s="2">
        <v>216589.59999999986</v>
      </c>
      <c r="J36" s="2"/>
      <c r="K36" s="2">
        <v>0</v>
      </c>
      <c r="L36" s="2"/>
      <c r="M36" s="2">
        <v>0</v>
      </c>
      <c r="N36" s="2">
        <v>264630.01</v>
      </c>
      <c r="O36" s="2">
        <v>370664.05999999988</v>
      </c>
      <c r="P36" s="2">
        <f t="shared" si="0"/>
        <v>0</v>
      </c>
      <c r="Q36" s="2"/>
    </row>
    <row r="37" spans="1:17" ht="19.5" x14ac:dyDescent="0.25">
      <c r="A37" s="2" t="s">
        <v>17</v>
      </c>
      <c r="B37" s="2" t="s">
        <v>18</v>
      </c>
      <c r="C37" s="2" t="s">
        <v>31</v>
      </c>
      <c r="D37" s="2" t="s">
        <v>24</v>
      </c>
      <c r="E37" s="2" t="s">
        <v>22</v>
      </c>
      <c r="F37" s="2"/>
      <c r="G37" s="2">
        <v>0</v>
      </c>
      <c r="H37" s="2">
        <v>5126927.2400000095</v>
      </c>
      <c r="I37" s="2">
        <v>1832819.7300000289</v>
      </c>
      <c r="J37" s="2"/>
      <c r="K37" s="2">
        <v>0</v>
      </c>
      <c r="L37" s="2"/>
      <c r="M37" s="2">
        <v>0</v>
      </c>
      <c r="N37" s="2">
        <v>2740867.0100000002</v>
      </c>
      <c r="O37" s="2">
        <v>5126927.2400000095</v>
      </c>
      <c r="P37" s="2">
        <f t="shared" si="0"/>
        <v>0</v>
      </c>
      <c r="Q37" s="2"/>
    </row>
    <row r="38" spans="1:17" ht="19.5" x14ac:dyDescent="0.25">
      <c r="A38" s="2" t="s">
        <v>17</v>
      </c>
      <c r="B38" s="2" t="s">
        <v>18</v>
      </c>
      <c r="C38" s="2" t="s">
        <v>31</v>
      </c>
      <c r="D38" s="2" t="s">
        <v>25</v>
      </c>
      <c r="E38" s="2" t="s">
        <v>21</v>
      </c>
      <c r="F38" s="2">
        <v>25</v>
      </c>
      <c r="G38" s="2">
        <v>89423.735999999975</v>
      </c>
      <c r="H38" s="2">
        <v>2235593.3999999994</v>
      </c>
      <c r="I38" s="2">
        <v>681467.09999999846</v>
      </c>
      <c r="J38" s="2">
        <v>8</v>
      </c>
      <c r="K38" s="2">
        <v>85183.387499999808</v>
      </c>
      <c r="L38" s="2">
        <v>13</v>
      </c>
      <c r="M38" s="2">
        <v>143065.06000000003</v>
      </c>
      <c r="N38" s="2">
        <v>1859845.7800000005</v>
      </c>
      <c r="O38" s="2">
        <v>2235593.3999999994</v>
      </c>
      <c r="P38" s="2">
        <f t="shared" si="0"/>
        <v>25</v>
      </c>
      <c r="Q38" s="2">
        <f t="shared" si="1"/>
        <v>89423.735999999975</v>
      </c>
    </row>
    <row r="39" spans="1:17" ht="19.5" x14ac:dyDescent="0.25">
      <c r="A39" s="2" t="s">
        <v>17</v>
      </c>
      <c r="B39" s="2" t="s">
        <v>18</v>
      </c>
      <c r="C39" s="2" t="s">
        <v>31</v>
      </c>
      <c r="D39" s="2" t="s">
        <v>25</v>
      </c>
      <c r="E39" s="2" t="s">
        <v>22</v>
      </c>
      <c r="F39" s="2">
        <v>104</v>
      </c>
      <c r="G39" s="2">
        <v>83247.259999999995</v>
      </c>
      <c r="H39" s="2">
        <v>8657715.0399999991</v>
      </c>
      <c r="I39" s="2">
        <v>3123227.0800000094</v>
      </c>
      <c r="J39" s="2">
        <v>35</v>
      </c>
      <c r="K39" s="2">
        <v>89235.059428571694</v>
      </c>
      <c r="L39" s="2">
        <v>83</v>
      </c>
      <c r="M39" s="2">
        <v>76762.03216867469</v>
      </c>
      <c r="N39" s="2">
        <v>6371248.669999999</v>
      </c>
      <c r="O39" s="2">
        <v>8657715.0399999991</v>
      </c>
      <c r="P39" s="2">
        <f t="shared" si="0"/>
        <v>104</v>
      </c>
      <c r="Q39" s="2">
        <f t="shared" si="1"/>
        <v>83247.259999999995</v>
      </c>
    </row>
    <row r="40" spans="1:17" ht="19.5" x14ac:dyDescent="0.25">
      <c r="A40" s="2" t="s">
        <v>17</v>
      </c>
      <c r="B40" s="2" t="s">
        <v>18</v>
      </c>
      <c r="C40" s="2" t="s">
        <v>31</v>
      </c>
      <c r="D40" s="2" t="s">
        <v>26</v>
      </c>
      <c r="E40" s="2" t="s">
        <v>21</v>
      </c>
      <c r="F40" s="2">
        <v>88</v>
      </c>
      <c r="G40" s="2">
        <v>23399.986250000002</v>
      </c>
      <c r="H40" s="2">
        <v>2059198.7900000003</v>
      </c>
      <c r="I40" s="2">
        <v>904023.67999999993</v>
      </c>
      <c r="J40" s="2">
        <v>30</v>
      </c>
      <c r="K40" s="2">
        <v>30134.122666666666</v>
      </c>
      <c r="L40" s="2">
        <v>114</v>
      </c>
      <c r="M40" s="2">
        <v>23023.695350877188</v>
      </c>
      <c r="N40" s="2">
        <v>2624701.2699999996</v>
      </c>
      <c r="O40" s="2">
        <v>2624701.2699999996</v>
      </c>
      <c r="P40" s="2">
        <f t="shared" si="0"/>
        <v>114</v>
      </c>
      <c r="Q40" s="2">
        <f t="shared" si="1"/>
        <v>23023.695350877188</v>
      </c>
    </row>
    <row r="41" spans="1:17" ht="19.5" x14ac:dyDescent="0.25">
      <c r="A41" s="2" t="s">
        <v>17</v>
      </c>
      <c r="B41" s="2" t="s">
        <v>18</v>
      </c>
      <c r="C41" s="2" t="s">
        <v>31</v>
      </c>
      <c r="D41" s="2" t="s">
        <v>26</v>
      </c>
      <c r="E41" s="2" t="s">
        <v>22</v>
      </c>
      <c r="F41" s="2">
        <v>840</v>
      </c>
      <c r="G41" s="2">
        <v>26503.836666666673</v>
      </c>
      <c r="H41" s="2">
        <v>22263222.800000004</v>
      </c>
      <c r="I41" s="2">
        <v>9025314.5599999279</v>
      </c>
      <c r="J41" s="2">
        <v>363</v>
      </c>
      <c r="K41" s="2">
        <v>24863.125509641675</v>
      </c>
      <c r="L41" s="2">
        <v>695</v>
      </c>
      <c r="M41" s="2">
        <v>22209.039942446012</v>
      </c>
      <c r="N41" s="2">
        <v>15435282.759999977</v>
      </c>
      <c r="O41" s="2">
        <v>22263222.800000004</v>
      </c>
      <c r="P41" s="2">
        <f t="shared" si="0"/>
        <v>840</v>
      </c>
      <c r="Q41" s="2">
        <f t="shared" si="1"/>
        <v>26503.836666666673</v>
      </c>
    </row>
    <row r="42" spans="1:17" ht="19.5" x14ac:dyDescent="0.25">
      <c r="A42" s="2" t="s">
        <v>17</v>
      </c>
      <c r="B42" s="2" t="s">
        <v>18</v>
      </c>
      <c r="C42" s="2" t="s">
        <v>31</v>
      </c>
      <c r="D42" s="2" t="s">
        <v>27</v>
      </c>
      <c r="E42" s="2" t="s">
        <v>21</v>
      </c>
      <c r="F42" s="2">
        <v>4</v>
      </c>
      <c r="G42" s="2">
        <v>42522.704999999987</v>
      </c>
      <c r="H42" s="2">
        <v>170090.81999999995</v>
      </c>
      <c r="I42" s="2">
        <v>306.10000000000002</v>
      </c>
      <c r="J42" s="2">
        <v>1</v>
      </c>
      <c r="K42" s="2">
        <v>306.10000000000002</v>
      </c>
      <c r="L42" s="2"/>
      <c r="M42" s="2"/>
      <c r="N42" s="2"/>
      <c r="O42" s="2">
        <v>170090.81999999995</v>
      </c>
      <c r="P42" s="2">
        <f t="shared" si="0"/>
        <v>4</v>
      </c>
      <c r="Q42" s="2">
        <f t="shared" si="1"/>
        <v>42522.704999999987</v>
      </c>
    </row>
    <row r="43" spans="1:17" ht="19.5" x14ac:dyDescent="0.25">
      <c r="A43" s="2" t="s">
        <v>17</v>
      </c>
      <c r="B43" s="2" t="s">
        <v>18</v>
      </c>
      <c r="C43" s="2" t="s">
        <v>31</v>
      </c>
      <c r="D43" s="2" t="s">
        <v>27</v>
      </c>
      <c r="E43" s="2" t="s">
        <v>22</v>
      </c>
      <c r="F43" s="2">
        <v>5</v>
      </c>
      <c r="G43" s="2">
        <v>26942.473999999998</v>
      </c>
      <c r="H43" s="2">
        <v>134712.37</v>
      </c>
      <c r="I43" s="2"/>
      <c r="J43" s="2"/>
      <c r="K43" s="2"/>
      <c r="L43" s="2">
        <v>3</v>
      </c>
      <c r="M43" s="2">
        <v>62278.426666666659</v>
      </c>
      <c r="N43" s="2">
        <v>186835.27999999997</v>
      </c>
      <c r="O43" s="2">
        <v>186835.27999999997</v>
      </c>
      <c r="P43" s="2">
        <f t="shared" si="0"/>
        <v>5</v>
      </c>
      <c r="Q43" s="2">
        <f t="shared" si="1"/>
        <v>37367.055999999997</v>
      </c>
    </row>
    <row r="44" spans="1:17" ht="19.5" x14ac:dyDescent="0.25">
      <c r="A44" s="2" t="s">
        <v>17</v>
      </c>
      <c r="B44" s="2" t="s">
        <v>18</v>
      </c>
      <c r="C44" s="2" t="s">
        <v>31</v>
      </c>
      <c r="D44" s="2" t="s">
        <v>28</v>
      </c>
      <c r="E44" s="2" t="s">
        <v>21</v>
      </c>
      <c r="F44" s="2">
        <v>2654</v>
      </c>
      <c r="G44" s="2">
        <v>905.88362094951026</v>
      </c>
      <c r="H44" s="2">
        <v>2404215.1300000004</v>
      </c>
      <c r="I44" s="2">
        <v>998570.4300000004</v>
      </c>
      <c r="J44" s="2">
        <v>881</v>
      </c>
      <c r="K44" s="2">
        <v>1133.4511123723046</v>
      </c>
      <c r="L44" s="2">
        <v>2366</v>
      </c>
      <c r="M44" s="2">
        <v>881.22426458157247</v>
      </c>
      <c r="N44" s="2">
        <v>2084976.6100000003</v>
      </c>
      <c r="O44" s="2">
        <v>2404215.1300000004</v>
      </c>
      <c r="P44" s="2">
        <f t="shared" si="0"/>
        <v>2654</v>
      </c>
      <c r="Q44" s="2">
        <f t="shared" si="1"/>
        <v>905.88362094951026</v>
      </c>
    </row>
    <row r="45" spans="1:17" ht="19.5" x14ac:dyDescent="0.25">
      <c r="A45" s="2" t="s">
        <v>17</v>
      </c>
      <c r="B45" s="2" t="s">
        <v>18</v>
      </c>
      <c r="C45" s="2" t="s">
        <v>31</v>
      </c>
      <c r="D45" s="2" t="s">
        <v>28</v>
      </c>
      <c r="E45" s="2" t="s">
        <v>22</v>
      </c>
      <c r="F45" s="2">
        <v>29117</v>
      </c>
      <c r="G45" s="2">
        <v>1114.9347065288314</v>
      </c>
      <c r="H45" s="2">
        <v>32463553.849999987</v>
      </c>
      <c r="I45" s="2">
        <v>14129989.070000112</v>
      </c>
      <c r="J45" s="2">
        <v>10900</v>
      </c>
      <c r="K45" s="2">
        <v>1296.3292724770745</v>
      </c>
      <c r="L45" s="2">
        <v>20101</v>
      </c>
      <c r="M45" s="2">
        <v>936.18910800457718</v>
      </c>
      <c r="N45" s="2">
        <v>18818337.260000005</v>
      </c>
      <c r="O45" s="2">
        <v>32463553.849999987</v>
      </c>
      <c r="P45" s="2">
        <f t="shared" si="0"/>
        <v>29117</v>
      </c>
      <c r="Q45" s="2">
        <f t="shared" si="1"/>
        <v>1114.9347065288314</v>
      </c>
    </row>
    <row r="46" spans="1:17" ht="19.5" x14ac:dyDescent="0.25">
      <c r="A46" s="2" t="s">
        <v>17</v>
      </c>
      <c r="B46" s="2" t="s">
        <v>18</v>
      </c>
      <c r="C46" s="2" t="s">
        <v>31</v>
      </c>
      <c r="D46" s="2" t="s">
        <v>29</v>
      </c>
      <c r="E46" s="2" t="s">
        <v>21</v>
      </c>
      <c r="F46" s="2"/>
      <c r="G46" s="2"/>
      <c r="H46" s="2"/>
      <c r="I46" s="2">
        <v>26123.780000000002</v>
      </c>
      <c r="J46" s="2">
        <v>1</v>
      </c>
      <c r="K46" s="2">
        <v>26123.780000000002</v>
      </c>
      <c r="L46" s="2"/>
      <c r="M46" s="2"/>
      <c r="N46" s="2"/>
      <c r="O46" s="2">
        <v>26123.780000000002</v>
      </c>
      <c r="P46" s="2">
        <f t="shared" si="0"/>
        <v>1</v>
      </c>
      <c r="Q46" s="2">
        <f t="shared" si="1"/>
        <v>26123.780000000002</v>
      </c>
    </row>
    <row r="47" spans="1:17" ht="19.5" x14ac:dyDescent="0.25">
      <c r="A47" s="2" t="s">
        <v>17</v>
      </c>
      <c r="B47" s="2" t="s">
        <v>18</v>
      </c>
      <c r="C47" s="2" t="s">
        <v>31</v>
      </c>
      <c r="D47" s="2" t="s">
        <v>29</v>
      </c>
      <c r="E47" s="2" t="s">
        <v>22</v>
      </c>
      <c r="F47" s="2"/>
      <c r="G47" s="2"/>
      <c r="H47" s="2"/>
      <c r="I47" s="2">
        <v>7150.4</v>
      </c>
      <c r="J47" s="2">
        <v>1</v>
      </c>
      <c r="K47" s="2">
        <v>7150.4</v>
      </c>
      <c r="L47" s="2"/>
      <c r="M47" s="2"/>
      <c r="N47" s="2"/>
      <c r="O47" s="2">
        <v>7150.4</v>
      </c>
      <c r="P47" s="2">
        <f t="shared" si="0"/>
        <v>1</v>
      </c>
      <c r="Q47" s="2">
        <f t="shared" si="1"/>
        <v>7150.4</v>
      </c>
    </row>
    <row r="48" spans="1:17" ht="19.5" x14ac:dyDescent="0.25">
      <c r="A48" s="2" t="s">
        <v>17</v>
      </c>
      <c r="B48" s="2" t="s">
        <v>32</v>
      </c>
      <c r="C48" s="2" t="s">
        <v>19</v>
      </c>
      <c r="D48" s="2" t="s">
        <v>20</v>
      </c>
      <c r="E48" s="2" t="s">
        <v>21</v>
      </c>
      <c r="F48" s="2">
        <v>20</v>
      </c>
      <c r="G48" s="2">
        <v>65947.551000000007</v>
      </c>
      <c r="H48" s="2">
        <v>1318951.02</v>
      </c>
      <c r="I48" s="2">
        <v>754282.14000000071</v>
      </c>
      <c r="J48" s="2">
        <v>11</v>
      </c>
      <c r="K48" s="2">
        <v>68571.103636363696</v>
      </c>
      <c r="L48" s="2">
        <v>10</v>
      </c>
      <c r="M48" s="2">
        <v>67203.75999999998</v>
      </c>
      <c r="N48" s="2">
        <v>672037.59999999974</v>
      </c>
      <c r="O48" s="2">
        <v>1318951.02</v>
      </c>
      <c r="P48" s="2">
        <f t="shared" si="0"/>
        <v>20</v>
      </c>
      <c r="Q48" s="2">
        <f t="shared" si="1"/>
        <v>65947.551000000007</v>
      </c>
    </row>
    <row r="49" spans="1:17" ht="19.5" x14ac:dyDescent="0.25">
      <c r="A49" s="2" t="s">
        <v>17</v>
      </c>
      <c r="B49" s="2" t="s">
        <v>32</v>
      </c>
      <c r="C49" s="2" t="s">
        <v>19</v>
      </c>
      <c r="D49" s="2" t="s">
        <v>20</v>
      </c>
      <c r="E49" s="2" t="s">
        <v>22</v>
      </c>
      <c r="F49" s="2">
        <v>67</v>
      </c>
      <c r="G49" s="2">
        <v>58272.578507462691</v>
      </c>
      <c r="H49" s="2">
        <v>3904262.7600000002</v>
      </c>
      <c r="I49" s="2">
        <v>3858874.360000011</v>
      </c>
      <c r="J49" s="2">
        <v>61</v>
      </c>
      <c r="K49" s="2">
        <v>63260.235409836248</v>
      </c>
      <c r="L49" s="2">
        <v>53</v>
      </c>
      <c r="M49" s="2">
        <v>67007.380377358495</v>
      </c>
      <c r="N49" s="2">
        <v>3551391.16</v>
      </c>
      <c r="O49" s="2">
        <v>3904262.7600000002</v>
      </c>
      <c r="P49" s="2">
        <f t="shared" si="0"/>
        <v>67</v>
      </c>
      <c r="Q49" s="2">
        <f t="shared" si="1"/>
        <v>58272.578507462691</v>
      </c>
    </row>
    <row r="50" spans="1:17" ht="19.5" x14ac:dyDescent="0.25">
      <c r="A50" s="2" t="s">
        <v>17</v>
      </c>
      <c r="B50" s="2" t="s">
        <v>32</v>
      </c>
      <c r="C50" s="2" t="s">
        <v>19</v>
      </c>
      <c r="D50" s="2" t="s">
        <v>23</v>
      </c>
      <c r="E50" s="2" t="s">
        <v>21</v>
      </c>
      <c r="F50" s="2">
        <v>921</v>
      </c>
      <c r="G50" s="2">
        <v>2091.5905211726385</v>
      </c>
      <c r="H50" s="2">
        <v>1926354.87</v>
      </c>
      <c r="I50" s="2">
        <v>1647432.110000001</v>
      </c>
      <c r="J50" s="2">
        <v>655</v>
      </c>
      <c r="K50" s="2">
        <v>2515.1635267175589</v>
      </c>
      <c r="L50" s="2">
        <v>670</v>
      </c>
      <c r="M50" s="2">
        <v>2015.1652835820898</v>
      </c>
      <c r="N50" s="2">
        <v>1350160.7400000002</v>
      </c>
      <c r="O50" s="2">
        <v>1926354.87</v>
      </c>
      <c r="P50" s="2">
        <f t="shared" si="0"/>
        <v>921</v>
      </c>
      <c r="Q50" s="2">
        <f t="shared" si="1"/>
        <v>2091.5905211726385</v>
      </c>
    </row>
    <row r="51" spans="1:17" ht="19.5" x14ac:dyDescent="0.25">
      <c r="A51" s="2" t="s">
        <v>17</v>
      </c>
      <c r="B51" s="2" t="s">
        <v>32</v>
      </c>
      <c r="C51" s="2" t="s">
        <v>19</v>
      </c>
      <c r="D51" s="2" t="s">
        <v>23</v>
      </c>
      <c r="E51" s="2" t="s">
        <v>22</v>
      </c>
      <c r="F51" s="2">
        <v>2759</v>
      </c>
      <c r="G51" s="2">
        <v>3710.5000797390376</v>
      </c>
      <c r="H51" s="2">
        <v>10237269.720000004</v>
      </c>
      <c r="I51" s="2">
        <v>8897510.9499998875</v>
      </c>
      <c r="J51" s="2">
        <v>2041</v>
      </c>
      <c r="K51" s="2">
        <v>4359.3880205780924</v>
      </c>
      <c r="L51" s="2">
        <v>1964</v>
      </c>
      <c r="M51" s="2">
        <v>2953.1239511201593</v>
      </c>
      <c r="N51" s="2">
        <v>5799935.439999993</v>
      </c>
      <c r="O51" s="2">
        <v>10237269.720000004</v>
      </c>
      <c r="P51" s="2">
        <f t="shared" si="0"/>
        <v>2759</v>
      </c>
      <c r="Q51" s="2">
        <f t="shared" si="1"/>
        <v>3710.5000797390376</v>
      </c>
    </row>
    <row r="52" spans="1:17" ht="19.5" x14ac:dyDescent="0.25">
      <c r="A52" s="2" t="s">
        <v>17</v>
      </c>
      <c r="B52" s="2" t="s">
        <v>32</v>
      </c>
      <c r="C52" s="2" t="s">
        <v>19</v>
      </c>
      <c r="D52" s="2" t="s">
        <v>24</v>
      </c>
      <c r="E52" s="2" t="s">
        <v>21</v>
      </c>
      <c r="F52" s="2"/>
      <c r="G52" s="2">
        <v>0</v>
      </c>
      <c r="H52" s="2">
        <v>991642.23</v>
      </c>
      <c r="I52" s="2">
        <v>811613.4599999995</v>
      </c>
      <c r="J52" s="2"/>
      <c r="K52" s="2">
        <v>0</v>
      </c>
      <c r="L52" s="2"/>
      <c r="M52" s="2">
        <v>0</v>
      </c>
      <c r="N52" s="2">
        <v>470034.72000000009</v>
      </c>
      <c r="O52" s="2">
        <v>991642.23</v>
      </c>
      <c r="P52" s="2">
        <f t="shared" si="0"/>
        <v>0</v>
      </c>
      <c r="Q52" s="2"/>
    </row>
    <row r="53" spans="1:17" ht="19.5" x14ac:dyDescent="0.25">
      <c r="A53" s="2" t="s">
        <v>17</v>
      </c>
      <c r="B53" s="2" t="s">
        <v>32</v>
      </c>
      <c r="C53" s="2" t="s">
        <v>19</v>
      </c>
      <c r="D53" s="2" t="s">
        <v>24</v>
      </c>
      <c r="E53" s="2" t="s">
        <v>22</v>
      </c>
      <c r="F53" s="2"/>
      <c r="G53" s="2">
        <v>0</v>
      </c>
      <c r="H53" s="2">
        <v>5508064.8400000036</v>
      </c>
      <c r="I53" s="2">
        <v>3946710.3000000147</v>
      </c>
      <c r="J53" s="2"/>
      <c r="K53" s="2">
        <v>0</v>
      </c>
      <c r="L53" s="2"/>
      <c r="M53" s="2">
        <v>0</v>
      </c>
      <c r="N53" s="2">
        <v>3311102.5199999991</v>
      </c>
      <c r="O53" s="2">
        <v>5508064.8400000036</v>
      </c>
      <c r="P53" s="2">
        <f t="shared" si="0"/>
        <v>0</v>
      </c>
      <c r="Q53" s="2"/>
    </row>
    <row r="54" spans="1:17" ht="19.5" x14ac:dyDescent="0.25">
      <c r="A54" s="2" t="s">
        <v>17</v>
      </c>
      <c r="B54" s="2" t="s">
        <v>32</v>
      </c>
      <c r="C54" s="2" t="s">
        <v>19</v>
      </c>
      <c r="D54" s="2" t="s">
        <v>25</v>
      </c>
      <c r="E54" s="2" t="s">
        <v>21</v>
      </c>
      <c r="F54" s="2">
        <v>37</v>
      </c>
      <c r="G54" s="2">
        <v>98157.054324324316</v>
      </c>
      <c r="H54" s="2">
        <v>3631811.01</v>
      </c>
      <c r="I54" s="2">
        <v>2873972.3500000122</v>
      </c>
      <c r="J54" s="2">
        <v>17</v>
      </c>
      <c r="K54" s="2">
        <v>169057.19705882424</v>
      </c>
      <c r="L54" s="2">
        <v>26</v>
      </c>
      <c r="M54" s="2">
        <v>61822.671923076923</v>
      </c>
      <c r="N54" s="2">
        <v>1607389.47</v>
      </c>
      <c r="O54" s="2">
        <v>3631811.01</v>
      </c>
      <c r="P54" s="2">
        <f t="shared" si="0"/>
        <v>37</v>
      </c>
      <c r="Q54" s="2">
        <f t="shared" si="1"/>
        <v>98157.054324324316</v>
      </c>
    </row>
    <row r="55" spans="1:17" ht="19.5" x14ac:dyDescent="0.25">
      <c r="A55" s="2" t="s">
        <v>17</v>
      </c>
      <c r="B55" s="2" t="s">
        <v>32</v>
      </c>
      <c r="C55" s="2" t="s">
        <v>19</v>
      </c>
      <c r="D55" s="2" t="s">
        <v>25</v>
      </c>
      <c r="E55" s="2" t="s">
        <v>22</v>
      </c>
      <c r="F55" s="2">
        <v>113</v>
      </c>
      <c r="G55" s="2">
        <v>154038.314159292</v>
      </c>
      <c r="H55" s="2">
        <v>17406329.499999996</v>
      </c>
      <c r="I55" s="2">
        <v>18469909.680000238</v>
      </c>
      <c r="J55" s="2">
        <v>107</v>
      </c>
      <c r="K55" s="2">
        <v>172615.97831775923</v>
      </c>
      <c r="L55" s="2">
        <v>117</v>
      </c>
      <c r="M55" s="2">
        <v>104801.46555555557</v>
      </c>
      <c r="N55" s="2">
        <v>12261771.470000001</v>
      </c>
      <c r="O55" s="2">
        <v>18469909.680000238</v>
      </c>
      <c r="P55" s="2">
        <f t="shared" si="0"/>
        <v>117</v>
      </c>
      <c r="Q55" s="2">
        <f t="shared" si="1"/>
        <v>157862.47589743792</v>
      </c>
    </row>
    <row r="56" spans="1:17" ht="19.5" x14ac:dyDescent="0.25">
      <c r="A56" s="2" t="s">
        <v>17</v>
      </c>
      <c r="B56" s="2" t="s">
        <v>32</v>
      </c>
      <c r="C56" s="2" t="s">
        <v>19</v>
      </c>
      <c r="D56" s="2" t="s">
        <v>26</v>
      </c>
      <c r="E56" s="2" t="s">
        <v>21</v>
      </c>
      <c r="F56" s="2">
        <v>167</v>
      </c>
      <c r="G56" s="2">
        <v>19351.430658682639</v>
      </c>
      <c r="H56" s="2">
        <v>3231688.9200000004</v>
      </c>
      <c r="I56" s="2">
        <v>1988675.570000001</v>
      </c>
      <c r="J56" s="2">
        <v>78</v>
      </c>
      <c r="K56" s="2">
        <v>25495.840641025654</v>
      </c>
      <c r="L56" s="2">
        <v>116</v>
      </c>
      <c r="M56" s="2">
        <v>19772.998448275866</v>
      </c>
      <c r="N56" s="2">
        <v>2293667.8200000003</v>
      </c>
      <c r="O56" s="2">
        <v>3231688.9200000004</v>
      </c>
      <c r="P56" s="2">
        <f t="shared" si="0"/>
        <v>167</v>
      </c>
      <c r="Q56" s="2">
        <f t="shared" si="1"/>
        <v>19351.430658682639</v>
      </c>
    </row>
    <row r="57" spans="1:17" ht="19.5" x14ac:dyDescent="0.25">
      <c r="A57" s="2" t="s">
        <v>17</v>
      </c>
      <c r="B57" s="2" t="s">
        <v>32</v>
      </c>
      <c r="C57" s="2" t="s">
        <v>19</v>
      </c>
      <c r="D57" s="2" t="s">
        <v>26</v>
      </c>
      <c r="E57" s="2" t="s">
        <v>22</v>
      </c>
      <c r="F57" s="2">
        <v>760</v>
      </c>
      <c r="G57" s="2">
        <v>26135.33552631579</v>
      </c>
      <c r="H57" s="2">
        <v>19862855</v>
      </c>
      <c r="I57" s="2">
        <v>15471256.930000039</v>
      </c>
      <c r="J57" s="2">
        <v>484</v>
      </c>
      <c r="K57" s="2">
        <v>31965.40688016537</v>
      </c>
      <c r="L57" s="2">
        <v>631</v>
      </c>
      <c r="M57" s="2">
        <v>22713.070729001585</v>
      </c>
      <c r="N57" s="2">
        <v>14331947.630000001</v>
      </c>
      <c r="O57" s="2">
        <v>19862855</v>
      </c>
      <c r="P57" s="2">
        <f t="shared" si="0"/>
        <v>760</v>
      </c>
      <c r="Q57" s="2">
        <f t="shared" si="1"/>
        <v>26135.33552631579</v>
      </c>
    </row>
    <row r="58" spans="1:17" ht="19.5" x14ac:dyDescent="0.25">
      <c r="A58" s="2" t="s">
        <v>17</v>
      </c>
      <c r="B58" s="2" t="s">
        <v>32</v>
      </c>
      <c r="C58" s="2" t="s">
        <v>19</v>
      </c>
      <c r="D58" s="2" t="s">
        <v>28</v>
      </c>
      <c r="E58" s="2" t="s">
        <v>21</v>
      </c>
      <c r="F58" s="2">
        <v>2503</v>
      </c>
      <c r="G58" s="2">
        <v>857.96825409508597</v>
      </c>
      <c r="H58" s="2">
        <v>2147494.54</v>
      </c>
      <c r="I58" s="2">
        <v>1927263.7100000002</v>
      </c>
      <c r="J58" s="2">
        <v>1795</v>
      </c>
      <c r="K58" s="2">
        <v>1073.6845181058497</v>
      </c>
      <c r="L58" s="2">
        <v>2081</v>
      </c>
      <c r="M58" s="2">
        <v>964.86827486785205</v>
      </c>
      <c r="N58" s="2">
        <v>2007890.8800000001</v>
      </c>
      <c r="O58" s="2">
        <v>2147494.54</v>
      </c>
      <c r="P58" s="2">
        <f t="shared" si="0"/>
        <v>2503</v>
      </c>
      <c r="Q58" s="2">
        <f t="shared" si="1"/>
        <v>857.96825409508597</v>
      </c>
    </row>
    <row r="59" spans="1:17" ht="19.5" x14ac:dyDescent="0.25">
      <c r="A59" s="2" t="s">
        <v>17</v>
      </c>
      <c r="B59" s="2" t="s">
        <v>32</v>
      </c>
      <c r="C59" s="2" t="s">
        <v>19</v>
      </c>
      <c r="D59" s="2" t="s">
        <v>28</v>
      </c>
      <c r="E59" s="2" t="s">
        <v>22</v>
      </c>
      <c r="F59" s="2">
        <v>16449</v>
      </c>
      <c r="G59" s="2">
        <v>848.36538330597568</v>
      </c>
      <c r="H59" s="2">
        <v>13954762.189999994</v>
      </c>
      <c r="I59" s="2">
        <v>10895119.910000002</v>
      </c>
      <c r="J59" s="2">
        <v>12196</v>
      </c>
      <c r="K59" s="2">
        <v>893.33551246310287</v>
      </c>
      <c r="L59" s="2">
        <v>14990</v>
      </c>
      <c r="M59" s="2">
        <v>719.87852568379026</v>
      </c>
      <c r="N59" s="2">
        <v>10790979.100000016</v>
      </c>
      <c r="O59" s="2">
        <v>13954762.189999994</v>
      </c>
      <c r="P59" s="2">
        <f t="shared" si="0"/>
        <v>16449</v>
      </c>
      <c r="Q59" s="2">
        <f t="shared" si="1"/>
        <v>848.36538330597568</v>
      </c>
    </row>
    <row r="60" spans="1:17" ht="19.5" x14ac:dyDescent="0.25">
      <c r="A60" s="2" t="s">
        <v>17</v>
      </c>
      <c r="B60" s="2" t="s">
        <v>32</v>
      </c>
      <c r="C60" s="2" t="s">
        <v>19</v>
      </c>
      <c r="D60" s="2" t="s">
        <v>29</v>
      </c>
      <c r="E60" s="2" t="s">
        <v>21</v>
      </c>
      <c r="F60" s="2">
        <v>8</v>
      </c>
      <c r="G60" s="2">
        <v>35091.323749999996</v>
      </c>
      <c r="H60" s="2">
        <v>280730.58999999997</v>
      </c>
      <c r="I60" s="2">
        <v>54665.870000000032</v>
      </c>
      <c r="J60" s="2">
        <v>4</v>
      </c>
      <c r="K60" s="2">
        <v>13666.467500000008</v>
      </c>
      <c r="L60" s="2">
        <v>6</v>
      </c>
      <c r="M60" s="2">
        <v>19204.898333333331</v>
      </c>
      <c r="N60" s="2">
        <v>115229.38999999998</v>
      </c>
      <c r="O60" s="2">
        <v>280730.58999999997</v>
      </c>
      <c r="P60" s="2">
        <f t="shared" si="0"/>
        <v>8</v>
      </c>
      <c r="Q60" s="2">
        <f t="shared" si="1"/>
        <v>35091.323749999996</v>
      </c>
    </row>
    <row r="61" spans="1:17" ht="19.5" x14ac:dyDescent="0.25">
      <c r="A61" s="2" t="s">
        <v>17</v>
      </c>
      <c r="B61" s="2" t="s">
        <v>32</v>
      </c>
      <c r="C61" s="2" t="s">
        <v>19</v>
      </c>
      <c r="D61" s="2" t="s">
        <v>29</v>
      </c>
      <c r="E61" s="2" t="s">
        <v>22</v>
      </c>
      <c r="F61" s="2">
        <v>22</v>
      </c>
      <c r="G61" s="2">
        <v>46115.852272727279</v>
      </c>
      <c r="H61" s="2">
        <v>1014548.7500000001</v>
      </c>
      <c r="I61" s="2">
        <v>858295.28000000084</v>
      </c>
      <c r="J61" s="2">
        <v>16</v>
      </c>
      <c r="K61" s="2">
        <v>53643.455000000053</v>
      </c>
      <c r="L61" s="2">
        <v>9</v>
      </c>
      <c r="M61" s="2">
        <v>15509.771111111111</v>
      </c>
      <c r="N61" s="2">
        <v>139587.94</v>
      </c>
      <c r="O61" s="2">
        <v>1014548.7500000001</v>
      </c>
      <c r="P61" s="2">
        <f t="shared" si="0"/>
        <v>22</v>
      </c>
      <c r="Q61" s="2">
        <f t="shared" si="1"/>
        <v>46115.852272727279</v>
      </c>
    </row>
    <row r="62" spans="1:17" ht="19.5" x14ac:dyDescent="0.25">
      <c r="A62" s="2" t="s">
        <v>17</v>
      </c>
      <c r="B62" s="2" t="s">
        <v>32</v>
      </c>
      <c r="C62" s="2" t="s">
        <v>30</v>
      </c>
      <c r="D62" s="2" t="s">
        <v>20</v>
      </c>
      <c r="E62" s="2" t="s">
        <v>21</v>
      </c>
      <c r="F62" s="2">
        <v>20</v>
      </c>
      <c r="G62" s="2">
        <v>65947.551000000007</v>
      </c>
      <c r="H62" s="2">
        <v>1318951.02</v>
      </c>
      <c r="I62" s="2">
        <v>1766412.8899999969</v>
      </c>
      <c r="J62" s="2">
        <v>9</v>
      </c>
      <c r="K62" s="2">
        <v>196268.09888888855</v>
      </c>
      <c r="L62" s="2">
        <v>12</v>
      </c>
      <c r="M62" s="2">
        <v>43051.813333333324</v>
      </c>
      <c r="N62" s="2">
        <v>516621.75999999989</v>
      </c>
      <c r="O62" s="2">
        <v>1766412.8899999969</v>
      </c>
      <c r="P62" s="2">
        <f t="shared" si="0"/>
        <v>20</v>
      </c>
      <c r="Q62" s="2">
        <f t="shared" si="1"/>
        <v>88320.644499999849</v>
      </c>
    </row>
    <row r="63" spans="1:17" ht="19.5" x14ac:dyDescent="0.25">
      <c r="A63" s="2" t="s">
        <v>17</v>
      </c>
      <c r="B63" s="2" t="s">
        <v>32</v>
      </c>
      <c r="C63" s="2" t="s">
        <v>30</v>
      </c>
      <c r="D63" s="2" t="s">
        <v>20</v>
      </c>
      <c r="E63" s="2" t="s">
        <v>22</v>
      </c>
      <c r="F63" s="2">
        <v>66</v>
      </c>
      <c r="G63" s="2">
        <v>58230.959393939396</v>
      </c>
      <c r="H63" s="2">
        <v>3843243.3200000003</v>
      </c>
      <c r="I63" s="2">
        <v>3924629.7600000012</v>
      </c>
      <c r="J63" s="2">
        <v>52</v>
      </c>
      <c r="K63" s="2">
        <v>75473.649230769253</v>
      </c>
      <c r="L63" s="2">
        <v>60</v>
      </c>
      <c r="M63" s="2">
        <v>55257.992333333357</v>
      </c>
      <c r="N63" s="2">
        <v>3315479.5400000014</v>
      </c>
      <c r="O63" s="2">
        <v>3924629.7600000012</v>
      </c>
      <c r="P63" s="2">
        <f t="shared" si="0"/>
        <v>66</v>
      </c>
      <c r="Q63" s="2">
        <f t="shared" si="1"/>
        <v>59464.087272727287</v>
      </c>
    </row>
    <row r="64" spans="1:17" ht="19.5" x14ac:dyDescent="0.25">
      <c r="A64" s="2" t="s">
        <v>17</v>
      </c>
      <c r="B64" s="2" t="s">
        <v>32</v>
      </c>
      <c r="C64" s="2" t="s">
        <v>30</v>
      </c>
      <c r="D64" s="2" t="s">
        <v>23</v>
      </c>
      <c r="E64" s="2" t="s">
        <v>21</v>
      </c>
      <c r="F64" s="2">
        <v>893</v>
      </c>
      <c r="G64" s="2">
        <v>2108.4566741321391</v>
      </c>
      <c r="H64" s="2">
        <v>1882851.81</v>
      </c>
      <c r="I64" s="2">
        <v>1929587.3499999985</v>
      </c>
      <c r="J64" s="2">
        <v>731</v>
      </c>
      <c r="K64" s="2">
        <v>2639.6543775649775</v>
      </c>
      <c r="L64" s="2">
        <v>690</v>
      </c>
      <c r="M64" s="2">
        <v>2032.5461014492762</v>
      </c>
      <c r="N64" s="2">
        <v>1402456.8100000005</v>
      </c>
      <c r="O64" s="2">
        <v>1929587.3499999985</v>
      </c>
      <c r="P64" s="2">
        <f t="shared" si="0"/>
        <v>893</v>
      </c>
      <c r="Q64" s="2">
        <f t="shared" si="1"/>
        <v>2160.7921052631564</v>
      </c>
    </row>
    <row r="65" spans="1:17" ht="19.5" x14ac:dyDescent="0.25">
      <c r="A65" s="2" t="s">
        <v>17</v>
      </c>
      <c r="B65" s="2" t="s">
        <v>32</v>
      </c>
      <c r="C65" s="2" t="s">
        <v>30</v>
      </c>
      <c r="D65" s="2" t="s">
        <v>23</v>
      </c>
      <c r="E65" s="2" t="s">
        <v>22</v>
      </c>
      <c r="F65" s="2">
        <v>2707</v>
      </c>
      <c r="G65" s="2">
        <v>3696.470524565942</v>
      </c>
      <c r="H65" s="2">
        <v>10006345.710000005</v>
      </c>
      <c r="I65" s="2">
        <v>9601751.6499999724</v>
      </c>
      <c r="J65" s="2">
        <v>2258</v>
      </c>
      <c r="K65" s="2">
        <v>4252.3257971656212</v>
      </c>
      <c r="L65" s="2">
        <v>1699</v>
      </c>
      <c r="M65" s="2">
        <v>3233.9949970570924</v>
      </c>
      <c r="N65" s="2">
        <v>5494557.5</v>
      </c>
      <c r="O65" s="2">
        <v>10006345.710000005</v>
      </c>
      <c r="P65" s="2">
        <f t="shared" si="0"/>
        <v>2707</v>
      </c>
      <c r="Q65" s="2">
        <f t="shared" si="1"/>
        <v>3696.470524565942</v>
      </c>
    </row>
    <row r="66" spans="1:17" ht="19.5" x14ac:dyDescent="0.25">
      <c r="A66" s="2" t="s">
        <v>17</v>
      </c>
      <c r="B66" s="2" t="s">
        <v>32</v>
      </c>
      <c r="C66" s="2" t="s">
        <v>30</v>
      </c>
      <c r="D66" s="2" t="s">
        <v>24</v>
      </c>
      <c r="E66" s="2" t="s">
        <v>21</v>
      </c>
      <c r="F66" s="2"/>
      <c r="G66" s="2">
        <v>0</v>
      </c>
      <c r="H66" s="2">
        <v>959481.82000000007</v>
      </c>
      <c r="I66" s="2">
        <v>653762.85000000033</v>
      </c>
      <c r="J66" s="2"/>
      <c r="K66" s="2">
        <v>0</v>
      </c>
      <c r="L66" s="2"/>
      <c r="M66" s="2">
        <v>0</v>
      </c>
      <c r="N66" s="2">
        <v>546423.05999999982</v>
      </c>
      <c r="O66" s="2">
        <v>959481.82000000007</v>
      </c>
      <c r="P66" s="2">
        <f t="shared" si="0"/>
        <v>0</v>
      </c>
      <c r="Q66" s="2"/>
    </row>
    <row r="67" spans="1:17" ht="19.5" x14ac:dyDescent="0.25">
      <c r="A67" s="2" t="s">
        <v>17</v>
      </c>
      <c r="B67" s="2" t="s">
        <v>32</v>
      </c>
      <c r="C67" s="2" t="s">
        <v>30</v>
      </c>
      <c r="D67" s="2" t="s">
        <v>24</v>
      </c>
      <c r="E67" s="2" t="s">
        <v>22</v>
      </c>
      <c r="F67" s="2"/>
      <c r="G67" s="2">
        <v>0</v>
      </c>
      <c r="H67" s="2">
        <v>5239912.6800000044</v>
      </c>
      <c r="I67" s="2">
        <v>4625661.5099999616</v>
      </c>
      <c r="J67" s="2"/>
      <c r="K67" s="2">
        <v>0</v>
      </c>
      <c r="L67" s="2"/>
      <c r="M67" s="2">
        <v>0</v>
      </c>
      <c r="N67" s="2">
        <v>2599346.9199999995</v>
      </c>
      <c r="O67" s="2">
        <v>5239912.6800000044</v>
      </c>
      <c r="P67" s="2">
        <f t="shared" ref="P67:P130" si="2">MAX(L67,J67,F67)</f>
        <v>0</v>
      </c>
      <c r="Q67" s="2"/>
    </row>
    <row r="68" spans="1:17" ht="19.5" x14ac:dyDescent="0.25">
      <c r="A68" s="2" t="s">
        <v>17</v>
      </c>
      <c r="B68" s="2" t="s">
        <v>32</v>
      </c>
      <c r="C68" s="2" t="s">
        <v>30</v>
      </c>
      <c r="D68" s="2" t="s">
        <v>25</v>
      </c>
      <c r="E68" s="2" t="s">
        <v>21</v>
      </c>
      <c r="F68" s="2">
        <v>35</v>
      </c>
      <c r="G68" s="2">
        <v>99546.66457142857</v>
      </c>
      <c r="H68" s="2">
        <v>3484133.26</v>
      </c>
      <c r="I68" s="2">
        <v>4979314.589999998</v>
      </c>
      <c r="J68" s="2">
        <v>26</v>
      </c>
      <c r="K68" s="2">
        <v>191512.09961538453</v>
      </c>
      <c r="L68" s="2">
        <v>24</v>
      </c>
      <c r="M68" s="2">
        <v>62447.546666666654</v>
      </c>
      <c r="N68" s="2">
        <v>1498741.1199999996</v>
      </c>
      <c r="O68" s="2">
        <v>4979314.589999998</v>
      </c>
      <c r="P68" s="2">
        <f t="shared" si="2"/>
        <v>35</v>
      </c>
      <c r="Q68" s="2">
        <f t="shared" ref="Q68:Q130" si="3">O68/P68</f>
        <v>142266.13114285708</v>
      </c>
    </row>
    <row r="69" spans="1:17" ht="19.5" x14ac:dyDescent="0.25">
      <c r="A69" s="2" t="s">
        <v>17</v>
      </c>
      <c r="B69" s="2" t="s">
        <v>32</v>
      </c>
      <c r="C69" s="2" t="s">
        <v>30</v>
      </c>
      <c r="D69" s="2" t="s">
        <v>25</v>
      </c>
      <c r="E69" s="2" t="s">
        <v>22</v>
      </c>
      <c r="F69" s="2">
        <v>112</v>
      </c>
      <c r="G69" s="2">
        <v>151717.91651785714</v>
      </c>
      <c r="H69" s="2">
        <v>16992406.649999999</v>
      </c>
      <c r="I69" s="2">
        <v>17822576.160000473</v>
      </c>
      <c r="J69" s="2">
        <v>87</v>
      </c>
      <c r="K69" s="2">
        <v>204857.19724138474</v>
      </c>
      <c r="L69" s="2">
        <v>110</v>
      </c>
      <c r="M69" s="2">
        <v>117201.29572727271</v>
      </c>
      <c r="N69" s="2">
        <v>12892142.529999997</v>
      </c>
      <c r="O69" s="2">
        <v>17822576.160000473</v>
      </c>
      <c r="P69" s="2">
        <f t="shared" si="2"/>
        <v>112</v>
      </c>
      <c r="Q69" s="2">
        <f t="shared" si="3"/>
        <v>159130.1442857185</v>
      </c>
    </row>
    <row r="70" spans="1:17" ht="19.5" x14ac:dyDescent="0.25">
      <c r="A70" s="2" t="s">
        <v>17</v>
      </c>
      <c r="B70" s="2" t="s">
        <v>32</v>
      </c>
      <c r="C70" s="2" t="s">
        <v>30</v>
      </c>
      <c r="D70" s="2" t="s">
        <v>26</v>
      </c>
      <c r="E70" s="2" t="s">
        <v>21</v>
      </c>
      <c r="F70" s="2">
        <v>164</v>
      </c>
      <c r="G70" s="2">
        <v>19410.822987804881</v>
      </c>
      <c r="H70" s="2">
        <v>3183374.97</v>
      </c>
      <c r="I70" s="2">
        <v>2251960.4300000016</v>
      </c>
      <c r="J70" s="2">
        <v>125</v>
      </c>
      <c r="K70" s="2">
        <v>18015.683440000012</v>
      </c>
      <c r="L70" s="2">
        <v>101</v>
      </c>
      <c r="M70" s="2">
        <v>20477.835742574258</v>
      </c>
      <c r="N70" s="2">
        <v>2068261.41</v>
      </c>
      <c r="O70" s="2">
        <v>3183374.97</v>
      </c>
      <c r="P70" s="2">
        <f t="shared" si="2"/>
        <v>164</v>
      </c>
      <c r="Q70" s="2">
        <f t="shared" si="3"/>
        <v>19410.822987804881</v>
      </c>
    </row>
    <row r="71" spans="1:17" ht="19.5" x14ac:dyDescent="0.25">
      <c r="A71" s="2" t="s">
        <v>17</v>
      </c>
      <c r="B71" s="2" t="s">
        <v>32</v>
      </c>
      <c r="C71" s="2" t="s">
        <v>30</v>
      </c>
      <c r="D71" s="2" t="s">
        <v>26</v>
      </c>
      <c r="E71" s="2" t="s">
        <v>22</v>
      </c>
      <c r="F71" s="2">
        <v>744</v>
      </c>
      <c r="G71" s="2">
        <v>25806.898118279569</v>
      </c>
      <c r="H71" s="2">
        <v>19200332.199999999</v>
      </c>
      <c r="I71" s="2">
        <v>19736698.789999414</v>
      </c>
      <c r="J71" s="2">
        <v>591</v>
      </c>
      <c r="K71" s="2">
        <v>33395.429424702903</v>
      </c>
      <c r="L71" s="2">
        <v>469</v>
      </c>
      <c r="M71" s="2">
        <v>23138.520341151383</v>
      </c>
      <c r="N71" s="2">
        <v>10851966.039999999</v>
      </c>
      <c r="O71" s="2">
        <v>19736698.789999414</v>
      </c>
      <c r="P71" s="2">
        <f t="shared" si="2"/>
        <v>744</v>
      </c>
      <c r="Q71" s="2">
        <f t="shared" si="3"/>
        <v>26527.820954300289</v>
      </c>
    </row>
    <row r="72" spans="1:17" ht="19.5" x14ac:dyDescent="0.25">
      <c r="A72" s="2" t="s">
        <v>17</v>
      </c>
      <c r="B72" s="2" t="s">
        <v>32</v>
      </c>
      <c r="C72" s="2" t="s">
        <v>30</v>
      </c>
      <c r="D72" s="2" t="s">
        <v>28</v>
      </c>
      <c r="E72" s="2" t="s">
        <v>21</v>
      </c>
      <c r="F72" s="2">
        <v>2440</v>
      </c>
      <c r="G72" s="2">
        <v>862.9724344262296</v>
      </c>
      <c r="H72" s="2">
        <v>2105652.7400000002</v>
      </c>
      <c r="I72" s="2">
        <v>2292708.2100000037</v>
      </c>
      <c r="J72" s="2">
        <v>2204</v>
      </c>
      <c r="K72" s="2">
        <v>1040.2487341197839</v>
      </c>
      <c r="L72" s="2">
        <v>2185</v>
      </c>
      <c r="M72" s="2">
        <v>996.21768878718535</v>
      </c>
      <c r="N72" s="2">
        <v>2176735.65</v>
      </c>
      <c r="O72" s="2">
        <v>2292708.2100000037</v>
      </c>
      <c r="P72" s="2">
        <f t="shared" si="2"/>
        <v>2440</v>
      </c>
      <c r="Q72" s="2">
        <f t="shared" si="3"/>
        <v>939.63451229508348</v>
      </c>
    </row>
    <row r="73" spans="1:17" ht="19.5" x14ac:dyDescent="0.25">
      <c r="A73" s="2" t="s">
        <v>17</v>
      </c>
      <c r="B73" s="2" t="s">
        <v>32</v>
      </c>
      <c r="C73" s="2" t="s">
        <v>30</v>
      </c>
      <c r="D73" s="2" t="s">
        <v>28</v>
      </c>
      <c r="E73" s="2" t="s">
        <v>22</v>
      </c>
      <c r="F73" s="2">
        <v>16019</v>
      </c>
      <c r="G73" s="2">
        <v>844.84541481990095</v>
      </c>
      <c r="H73" s="2">
        <v>13533578.699999994</v>
      </c>
      <c r="I73" s="2">
        <v>14280031.76999989</v>
      </c>
      <c r="J73" s="2">
        <v>15125</v>
      </c>
      <c r="K73" s="2">
        <v>944.13433190081912</v>
      </c>
      <c r="L73" s="2">
        <v>11886</v>
      </c>
      <c r="M73" s="2">
        <v>788.10232458354483</v>
      </c>
      <c r="N73" s="2">
        <v>9367384.2300000135</v>
      </c>
      <c r="O73" s="2">
        <v>14280031.76999989</v>
      </c>
      <c r="P73" s="2">
        <f t="shared" si="2"/>
        <v>16019</v>
      </c>
      <c r="Q73" s="2">
        <f t="shared" si="3"/>
        <v>891.4433965915407</v>
      </c>
    </row>
    <row r="74" spans="1:17" ht="19.5" x14ac:dyDescent="0.25">
      <c r="A74" s="2" t="s">
        <v>17</v>
      </c>
      <c r="B74" s="2" t="s">
        <v>32</v>
      </c>
      <c r="C74" s="2" t="s">
        <v>30</v>
      </c>
      <c r="D74" s="2" t="s">
        <v>29</v>
      </c>
      <c r="E74" s="2" t="s">
        <v>21</v>
      </c>
      <c r="F74" s="2">
        <v>8</v>
      </c>
      <c r="G74" s="2">
        <v>35091.323749999996</v>
      </c>
      <c r="H74" s="2">
        <v>280730.58999999997</v>
      </c>
      <c r="I74" s="2">
        <v>23541.75</v>
      </c>
      <c r="J74" s="2">
        <v>1</v>
      </c>
      <c r="K74" s="2">
        <v>23541.75</v>
      </c>
      <c r="L74" s="2">
        <v>2</v>
      </c>
      <c r="M74" s="2">
        <v>13903.594999999999</v>
      </c>
      <c r="N74" s="2">
        <v>27807.19</v>
      </c>
      <c r="O74" s="2">
        <v>280730.58999999997</v>
      </c>
      <c r="P74" s="2">
        <f t="shared" si="2"/>
        <v>8</v>
      </c>
      <c r="Q74" s="2">
        <f t="shared" si="3"/>
        <v>35091.323749999996</v>
      </c>
    </row>
    <row r="75" spans="1:17" ht="19.5" x14ac:dyDescent="0.25">
      <c r="A75" s="2" t="s">
        <v>17</v>
      </c>
      <c r="B75" s="2" t="s">
        <v>32</v>
      </c>
      <c r="C75" s="2" t="s">
        <v>30</v>
      </c>
      <c r="D75" s="2" t="s">
        <v>29</v>
      </c>
      <c r="E75" s="2" t="s">
        <v>22</v>
      </c>
      <c r="F75" s="2">
        <v>21</v>
      </c>
      <c r="G75" s="2">
        <v>45199.728571428583</v>
      </c>
      <c r="H75" s="2">
        <v>949194.30000000016</v>
      </c>
      <c r="I75" s="2">
        <v>464896.34000000061</v>
      </c>
      <c r="J75" s="2">
        <v>10</v>
      </c>
      <c r="K75" s="2">
        <v>46489.634000000064</v>
      </c>
      <c r="L75" s="2">
        <v>7</v>
      </c>
      <c r="M75" s="2">
        <v>44511.08</v>
      </c>
      <c r="N75" s="2">
        <v>311577.56</v>
      </c>
      <c r="O75" s="2">
        <v>949194.30000000016</v>
      </c>
      <c r="P75" s="2">
        <f t="shared" si="2"/>
        <v>21</v>
      </c>
      <c r="Q75" s="2">
        <f t="shared" si="3"/>
        <v>45199.728571428583</v>
      </c>
    </row>
    <row r="76" spans="1:17" ht="19.5" x14ac:dyDescent="0.25">
      <c r="A76" s="2" t="s">
        <v>17</v>
      </c>
      <c r="B76" s="2" t="s">
        <v>32</v>
      </c>
      <c r="C76" s="2" t="s">
        <v>31</v>
      </c>
      <c r="D76" s="2" t="s">
        <v>20</v>
      </c>
      <c r="E76" s="2" t="s">
        <v>21</v>
      </c>
      <c r="F76" s="2">
        <v>20</v>
      </c>
      <c r="G76" s="2">
        <v>65947.551000000007</v>
      </c>
      <c r="H76" s="2">
        <v>1318951.02</v>
      </c>
      <c r="I76" s="2">
        <v>167268.25000000012</v>
      </c>
      <c r="J76" s="2">
        <v>5</v>
      </c>
      <c r="K76" s="2">
        <v>33453.650000000023</v>
      </c>
      <c r="L76" s="2">
        <v>17</v>
      </c>
      <c r="M76" s="2">
        <v>17976.684705882355</v>
      </c>
      <c r="N76" s="2">
        <v>305603.64</v>
      </c>
      <c r="O76" s="2">
        <v>1318951.02</v>
      </c>
      <c r="P76" s="2">
        <f t="shared" si="2"/>
        <v>20</v>
      </c>
      <c r="Q76" s="2">
        <f t="shared" si="3"/>
        <v>65947.551000000007</v>
      </c>
    </row>
    <row r="77" spans="1:17" ht="19.5" x14ac:dyDescent="0.25">
      <c r="A77" s="2" t="s">
        <v>17</v>
      </c>
      <c r="B77" s="2" t="s">
        <v>32</v>
      </c>
      <c r="C77" s="2" t="s">
        <v>31</v>
      </c>
      <c r="D77" s="2" t="s">
        <v>20</v>
      </c>
      <c r="E77" s="2" t="s">
        <v>22</v>
      </c>
      <c r="F77" s="2">
        <v>67</v>
      </c>
      <c r="G77" s="2">
        <v>58272.578507462691</v>
      </c>
      <c r="H77" s="2">
        <v>3904262.7600000002</v>
      </c>
      <c r="I77" s="2">
        <v>356375.54999999981</v>
      </c>
      <c r="J77" s="2">
        <v>12</v>
      </c>
      <c r="K77" s="2">
        <v>29697.962499999983</v>
      </c>
      <c r="L77" s="2">
        <v>79</v>
      </c>
      <c r="M77" s="2">
        <v>45503.201898734194</v>
      </c>
      <c r="N77" s="2">
        <v>3594752.9500000011</v>
      </c>
      <c r="O77" s="2">
        <v>3904262.7600000002</v>
      </c>
      <c r="P77" s="2">
        <f t="shared" si="2"/>
        <v>79</v>
      </c>
      <c r="Q77" s="2">
        <f t="shared" si="3"/>
        <v>49421.04759493671</v>
      </c>
    </row>
    <row r="78" spans="1:17" ht="19.5" x14ac:dyDescent="0.25">
      <c r="A78" s="2" t="s">
        <v>17</v>
      </c>
      <c r="B78" s="2" t="s">
        <v>32</v>
      </c>
      <c r="C78" s="2" t="s">
        <v>31</v>
      </c>
      <c r="D78" s="2" t="s">
        <v>23</v>
      </c>
      <c r="E78" s="2" t="s">
        <v>21</v>
      </c>
      <c r="F78" s="2">
        <v>921</v>
      </c>
      <c r="G78" s="2">
        <v>2091.5905211726385</v>
      </c>
      <c r="H78" s="2">
        <v>1926354.87</v>
      </c>
      <c r="I78" s="2">
        <v>738294.60999999847</v>
      </c>
      <c r="J78" s="2">
        <v>259</v>
      </c>
      <c r="K78" s="2">
        <v>2850.558339768334</v>
      </c>
      <c r="L78" s="2">
        <v>747</v>
      </c>
      <c r="M78" s="2">
        <v>1872.0007095046853</v>
      </c>
      <c r="N78" s="2">
        <v>1398384.53</v>
      </c>
      <c r="O78" s="2">
        <v>1926354.87</v>
      </c>
      <c r="P78" s="2">
        <f t="shared" si="2"/>
        <v>921</v>
      </c>
      <c r="Q78" s="2">
        <f t="shared" si="3"/>
        <v>2091.5905211726385</v>
      </c>
    </row>
    <row r="79" spans="1:17" ht="19.5" x14ac:dyDescent="0.25">
      <c r="A79" s="2" t="s">
        <v>17</v>
      </c>
      <c r="B79" s="2" t="s">
        <v>32</v>
      </c>
      <c r="C79" s="2" t="s">
        <v>31</v>
      </c>
      <c r="D79" s="2" t="s">
        <v>23</v>
      </c>
      <c r="E79" s="2" t="s">
        <v>22</v>
      </c>
      <c r="F79" s="2">
        <v>2759</v>
      </c>
      <c r="G79" s="2">
        <v>3710.5000797390376</v>
      </c>
      <c r="H79" s="2">
        <v>10237269.720000004</v>
      </c>
      <c r="I79" s="2">
        <v>3791954.1900000153</v>
      </c>
      <c r="J79" s="2">
        <v>875</v>
      </c>
      <c r="K79" s="2">
        <v>4333.661931428589</v>
      </c>
      <c r="L79" s="2">
        <v>2081</v>
      </c>
      <c r="M79" s="2">
        <v>3149.623123498317</v>
      </c>
      <c r="N79" s="2">
        <v>6554365.7199999979</v>
      </c>
      <c r="O79" s="2">
        <v>10237269.720000004</v>
      </c>
      <c r="P79" s="2">
        <f t="shared" si="2"/>
        <v>2759</v>
      </c>
      <c r="Q79" s="2">
        <f t="shared" si="3"/>
        <v>3710.5000797390376</v>
      </c>
    </row>
    <row r="80" spans="1:17" ht="19.5" x14ac:dyDescent="0.25">
      <c r="A80" s="2" t="s">
        <v>17</v>
      </c>
      <c r="B80" s="2" t="s">
        <v>32</v>
      </c>
      <c r="C80" s="2" t="s">
        <v>31</v>
      </c>
      <c r="D80" s="2" t="s">
        <v>24</v>
      </c>
      <c r="E80" s="2" t="s">
        <v>21</v>
      </c>
      <c r="F80" s="2"/>
      <c r="G80" s="2">
        <v>0</v>
      </c>
      <c r="H80" s="2">
        <v>991642.23</v>
      </c>
      <c r="I80" s="2">
        <v>228994.24000000017</v>
      </c>
      <c r="J80" s="2"/>
      <c r="K80" s="2">
        <v>0</v>
      </c>
      <c r="L80" s="2"/>
      <c r="M80" s="2">
        <v>0</v>
      </c>
      <c r="N80" s="2">
        <v>515587.46000000008</v>
      </c>
      <c r="O80" s="2">
        <v>991642.23</v>
      </c>
      <c r="P80" s="2">
        <f t="shared" si="2"/>
        <v>0</v>
      </c>
      <c r="Q80" s="2"/>
    </row>
    <row r="81" spans="1:17" ht="19.5" x14ac:dyDescent="0.25">
      <c r="A81" s="2" t="s">
        <v>17</v>
      </c>
      <c r="B81" s="2" t="s">
        <v>32</v>
      </c>
      <c r="C81" s="2" t="s">
        <v>31</v>
      </c>
      <c r="D81" s="2" t="s">
        <v>24</v>
      </c>
      <c r="E81" s="2" t="s">
        <v>22</v>
      </c>
      <c r="F81" s="2"/>
      <c r="G81" s="2">
        <v>0</v>
      </c>
      <c r="H81" s="2">
        <v>5508064.8400000036</v>
      </c>
      <c r="I81" s="2">
        <v>1925571.680000003</v>
      </c>
      <c r="J81" s="2"/>
      <c r="K81" s="2">
        <v>0</v>
      </c>
      <c r="L81" s="2"/>
      <c r="M81" s="2">
        <v>0</v>
      </c>
      <c r="N81" s="2">
        <v>3001617.2999999989</v>
      </c>
      <c r="O81" s="2">
        <v>5508064.8400000036</v>
      </c>
      <c r="P81" s="2">
        <f t="shared" si="2"/>
        <v>0</v>
      </c>
      <c r="Q81" s="2"/>
    </row>
    <row r="82" spans="1:17" ht="19.5" x14ac:dyDescent="0.25">
      <c r="A82" s="2" t="s">
        <v>17</v>
      </c>
      <c r="B82" s="2" t="s">
        <v>32</v>
      </c>
      <c r="C82" s="2" t="s">
        <v>31</v>
      </c>
      <c r="D82" s="2" t="s">
        <v>25</v>
      </c>
      <c r="E82" s="2" t="s">
        <v>21</v>
      </c>
      <c r="F82" s="2">
        <v>37</v>
      </c>
      <c r="G82" s="2">
        <v>98157.054324324316</v>
      </c>
      <c r="H82" s="2">
        <v>3631811.01</v>
      </c>
      <c r="I82" s="2">
        <v>1623943.1399999987</v>
      </c>
      <c r="J82" s="2">
        <v>11</v>
      </c>
      <c r="K82" s="2">
        <v>147631.19454545443</v>
      </c>
      <c r="L82" s="2">
        <v>26</v>
      </c>
      <c r="M82" s="2">
        <v>111573.51884615388</v>
      </c>
      <c r="N82" s="2">
        <v>2900911.4900000007</v>
      </c>
      <c r="O82" s="2">
        <v>3631811.01</v>
      </c>
      <c r="P82" s="2">
        <f t="shared" si="2"/>
        <v>37</v>
      </c>
      <c r="Q82" s="2">
        <f t="shared" si="3"/>
        <v>98157.054324324316</v>
      </c>
    </row>
    <row r="83" spans="1:17" ht="19.5" x14ac:dyDescent="0.25">
      <c r="A83" s="2" t="s">
        <v>17</v>
      </c>
      <c r="B83" s="2" t="s">
        <v>32</v>
      </c>
      <c r="C83" s="2" t="s">
        <v>31</v>
      </c>
      <c r="D83" s="2" t="s">
        <v>25</v>
      </c>
      <c r="E83" s="2" t="s">
        <v>22</v>
      </c>
      <c r="F83" s="2">
        <v>113</v>
      </c>
      <c r="G83" s="2">
        <v>154038.314159292</v>
      </c>
      <c r="H83" s="2">
        <v>17406329.499999996</v>
      </c>
      <c r="I83" s="2">
        <v>5877374.1000000229</v>
      </c>
      <c r="J83" s="2">
        <v>50</v>
      </c>
      <c r="K83" s="2">
        <v>117547.48200000045</v>
      </c>
      <c r="L83" s="2">
        <v>130</v>
      </c>
      <c r="M83" s="2">
        <v>102898.74676923078</v>
      </c>
      <c r="N83" s="2">
        <v>13376837.080000002</v>
      </c>
      <c r="O83" s="2">
        <v>17406329.499999996</v>
      </c>
      <c r="P83" s="2">
        <f t="shared" si="2"/>
        <v>130</v>
      </c>
      <c r="Q83" s="2">
        <f t="shared" si="3"/>
        <v>133894.84230769228</v>
      </c>
    </row>
    <row r="84" spans="1:17" ht="19.5" x14ac:dyDescent="0.25">
      <c r="A84" s="2" t="s">
        <v>17</v>
      </c>
      <c r="B84" s="2" t="s">
        <v>32</v>
      </c>
      <c r="C84" s="2" t="s">
        <v>31</v>
      </c>
      <c r="D84" s="2" t="s">
        <v>26</v>
      </c>
      <c r="E84" s="2" t="s">
        <v>21</v>
      </c>
      <c r="F84" s="2">
        <v>167</v>
      </c>
      <c r="G84" s="2">
        <v>19351.430658682639</v>
      </c>
      <c r="H84" s="2">
        <v>3231688.9200000004</v>
      </c>
      <c r="I84" s="2">
        <v>988233.72000000079</v>
      </c>
      <c r="J84" s="2">
        <v>57</v>
      </c>
      <c r="K84" s="2">
        <v>17337.43368421054</v>
      </c>
      <c r="L84" s="2">
        <v>130</v>
      </c>
      <c r="M84" s="2">
        <v>16912.806461538468</v>
      </c>
      <c r="N84" s="2">
        <v>2198664.8400000008</v>
      </c>
      <c r="O84" s="2">
        <v>3231688.9200000004</v>
      </c>
      <c r="P84" s="2">
        <f t="shared" si="2"/>
        <v>167</v>
      </c>
      <c r="Q84" s="2">
        <f t="shared" si="3"/>
        <v>19351.430658682639</v>
      </c>
    </row>
    <row r="85" spans="1:17" ht="19.5" x14ac:dyDescent="0.25">
      <c r="A85" s="2" t="s">
        <v>17</v>
      </c>
      <c r="B85" s="2" t="s">
        <v>32</v>
      </c>
      <c r="C85" s="2" t="s">
        <v>31</v>
      </c>
      <c r="D85" s="2" t="s">
        <v>26</v>
      </c>
      <c r="E85" s="2" t="s">
        <v>22</v>
      </c>
      <c r="F85" s="2">
        <v>760</v>
      </c>
      <c r="G85" s="2">
        <v>26135.33552631579</v>
      </c>
      <c r="H85" s="2">
        <v>19862855</v>
      </c>
      <c r="I85" s="2">
        <v>7313434.7399999872</v>
      </c>
      <c r="J85" s="2">
        <v>259</v>
      </c>
      <c r="K85" s="2">
        <v>28237.19976833972</v>
      </c>
      <c r="L85" s="2">
        <v>627</v>
      </c>
      <c r="M85" s="2">
        <v>21268.961100478464</v>
      </c>
      <c r="N85" s="2">
        <v>13335638.609999996</v>
      </c>
      <c r="O85" s="2">
        <v>19862855</v>
      </c>
      <c r="P85" s="2">
        <f t="shared" si="2"/>
        <v>760</v>
      </c>
      <c r="Q85" s="2">
        <f t="shared" si="3"/>
        <v>26135.33552631579</v>
      </c>
    </row>
    <row r="86" spans="1:17" ht="19.5" x14ac:dyDescent="0.25">
      <c r="A86" s="2" t="s">
        <v>17</v>
      </c>
      <c r="B86" s="2" t="s">
        <v>32</v>
      </c>
      <c r="C86" s="2" t="s">
        <v>31</v>
      </c>
      <c r="D86" s="2" t="s">
        <v>28</v>
      </c>
      <c r="E86" s="2" t="s">
        <v>21</v>
      </c>
      <c r="F86" s="2">
        <v>2503</v>
      </c>
      <c r="G86" s="2">
        <v>857.96825409508597</v>
      </c>
      <c r="H86" s="2">
        <v>2147494.54</v>
      </c>
      <c r="I86" s="2">
        <v>860346.67000000039</v>
      </c>
      <c r="J86" s="2">
        <v>893</v>
      </c>
      <c r="K86" s="2">
        <v>963.4341209406499</v>
      </c>
      <c r="L86" s="2">
        <v>2309</v>
      </c>
      <c r="M86" s="2">
        <v>870.63652230402772</v>
      </c>
      <c r="N86" s="2">
        <v>2010299.73</v>
      </c>
      <c r="O86" s="2">
        <v>2147494.54</v>
      </c>
      <c r="P86" s="2">
        <f t="shared" si="2"/>
        <v>2503</v>
      </c>
      <c r="Q86" s="2">
        <f t="shared" si="3"/>
        <v>857.96825409508597</v>
      </c>
    </row>
    <row r="87" spans="1:17" ht="19.5" x14ac:dyDescent="0.25">
      <c r="A87" s="2" t="s">
        <v>17</v>
      </c>
      <c r="B87" s="2" t="s">
        <v>32</v>
      </c>
      <c r="C87" s="2" t="s">
        <v>31</v>
      </c>
      <c r="D87" s="2" t="s">
        <v>28</v>
      </c>
      <c r="E87" s="2" t="s">
        <v>22</v>
      </c>
      <c r="F87" s="2">
        <v>16449</v>
      </c>
      <c r="G87" s="2">
        <v>848.36538330597568</v>
      </c>
      <c r="H87" s="2">
        <v>13954762.189999994</v>
      </c>
      <c r="I87" s="2">
        <v>5248986.1699999822</v>
      </c>
      <c r="J87" s="2">
        <v>5598</v>
      </c>
      <c r="K87" s="2">
        <v>937.65383529831763</v>
      </c>
      <c r="L87" s="2">
        <v>13969</v>
      </c>
      <c r="M87" s="2">
        <v>815.28332164077722</v>
      </c>
      <c r="N87" s="2">
        <v>11388692.720000017</v>
      </c>
      <c r="O87" s="2">
        <v>13954762.189999994</v>
      </c>
      <c r="P87" s="2">
        <f t="shared" si="2"/>
        <v>16449</v>
      </c>
      <c r="Q87" s="2">
        <f t="shared" si="3"/>
        <v>848.36538330597568</v>
      </c>
    </row>
    <row r="88" spans="1:17" ht="19.5" x14ac:dyDescent="0.25">
      <c r="A88" s="2" t="s">
        <v>17</v>
      </c>
      <c r="B88" s="2" t="s">
        <v>32</v>
      </c>
      <c r="C88" s="2" t="s">
        <v>31</v>
      </c>
      <c r="D88" s="2" t="s">
        <v>29</v>
      </c>
      <c r="E88" s="2" t="s">
        <v>21</v>
      </c>
      <c r="F88" s="2">
        <v>8</v>
      </c>
      <c r="G88" s="2">
        <v>35091.323749999996</v>
      </c>
      <c r="H88" s="2">
        <v>280730.58999999997</v>
      </c>
      <c r="I88" s="2"/>
      <c r="J88" s="2"/>
      <c r="K88" s="2"/>
      <c r="L88" s="2">
        <v>2</v>
      </c>
      <c r="M88" s="2">
        <v>9777.0399999999991</v>
      </c>
      <c r="N88" s="2">
        <v>19554.079999999998</v>
      </c>
      <c r="O88" s="2">
        <v>280730.58999999997</v>
      </c>
      <c r="P88" s="2">
        <f t="shared" si="2"/>
        <v>8</v>
      </c>
      <c r="Q88" s="2">
        <f t="shared" si="3"/>
        <v>35091.323749999996</v>
      </c>
    </row>
    <row r="89" spans="1:17" ht="19.5" x14ac:dyDescent="0.25">
      <c r="A89" s="2" t="s">
        <v>17</v>
      </c>
      <c r="B89" s="2" t="s">
        <v>32</v>
      </c>
      <c r="C89" s="2" t="s">
        <v>31</v>
      </c>
      <c r="D89" s="2" t="s">
        <v>29</v>
      </c>
      <c r="E89" s="2" t="s">
        <v>22</v>
      </c>
      <c r="F89" s="2">
        <v>22</v>
      </c>
      <c r="G89" s="2">
        <v>46115.852272727279</v>
      </c>
      <c r="H89" s="2">
        <v>1014548.7500000001</v>
      </c>
      <c r="I89" s="2">
        <v>71059.929999999993</v>
      </c>
      <c r="J89" s="2">
        <v>3</v>
      </c>
      <c r="K89" s="2">
        <v>23686.64333333333</v>
      </c>
      <c r="L89" s="2">
        <v>13</v>
      </c>
      <c r="M89" s="2">
        <v>22789.83538461538</v>
      </c>
      <c r="N89" s="2">
        <v>296267.85999999993</v>
      </c>
      <c r="O89" s="2">
        <v>1014548.7500000001</v>
      </c>
      <c r="P89" s="2">
        <f t="shared" si="2"/>
        <v>22</v>
      </c>
      <c r="Q89" s="2">
        <f t="shared" si="3"/>
        <v>46115.852272727279</v>
      </c>
    </row>
    <row r="90" spans="1:17" ht="19.5" x14ac:dyDescent="0.25">
      <c r="A90" s="2" t="s">
        <v>33</v>
      </c>
      <c r="B90" s="2" t="s">
        <v>34</v>
      </c>
      <c r="C90" s="2" t="s">
        <v>19</v>
      </c>
      <c r="D90" s="2" t="s">
        <v>20</v>
      </c>
      <c r="E90" s="2" t="s">
        <v>22</v>
      </c>
      <c r="F90" s="2">
        <v>13</v>
      </c>
      <c r="G90" s="2">
        <v>13655.800769230769</v>
      </c>
      <c r="H90" s="2">
        <v>177525.41</v>
      </c>
      <c r="I90" s="2">
        <v>50016.560000000005</v>
      </c>
      <c r="J90" s="2">
        <v>1</v>
      </c>
      <c r="K90" s="2">
        <v>50016.560000000005</v>
      </c>
      <c r="L90" s="2">
        <v>2</v>
      </c>
      <c r="M90" s="2">
        <v>25271.434999999998</v>
      </c>
      <c r="N90" s="2">
        <v>50542.869999999995</v>
      </c>
      <c r="O90" s="2">
        <v>177525.41</v>
      </c>
      <c r="P90" s="2">
        <f t="shared" si="2"/>
        <v>13</v>
      </c>
      <c r="Q90" s="2">
        <f t="shared" si="3"/>
        <v>13655.800769230769</v>
      </c>
    </row>
    <row r="91" spans="1:17" ht="19.5" x14ac:dyDescent="0.25">
      <c r="A91" s="2" t="s">
        <v>33</v>
      </c>
      <c r="B91" s="2" t="s">
        <v>34</v>
      </c>
      <c r="C91" s="2" t="s">
        <v>19</v>
      </c>
      <c r="D91" s="2" t="s">
        <v>35</v>
      </c>
      <c r="E91" s="2" t="s">
        <v>21</v>
      </c>
      <c r="F91" s="2">
        <v>9</v>
      </c>
      <c r="G91" s="2">
        <v>26010.248888888884</v>
      </c>
      <c r="H91" s="2">
        <v>234092.23999999996</v>
      </c>
      <c r="I91" s="2">
        <v>144813.04999999996</v>
      </c>
      <c r="J91" s="2">
        <v>6</v>
      </c>
      <c r="K91" s="2">
        <v>24135.508333333328</v>
      </c>
      <c r="L91" s="2">
        <v>3</v>
      </c>
      <c r="M91" s="2">
        <v>68413.5</v>
      </c>
      <c r="N91" s="2">
        <v>205240.5</v>
      </c>
      <c r="O91" s="2">
        <v>234092.23999999996</v>
      </c>
      <c r="P91" s="2">
        <f t="shared" si="2"/>
        <v>9</v>
      </c>
      <c r="Q91" s="2">
        <f t="shared" si="3"/>
        <v>26010.248888888884</v>
      </c>
    </row>
    <row r="92" spans="1:17" ht="19.5" x14ac:dyDescent="0.25">
      <c r="A92" s="2" t="s">
        <v>33</v>
      </c>
      <c r="B92" s="2" t="s">
        <v>34</v>
      </c>
      <c r="C92" s="2" t="s">
        <v>19</v>
      </c>
      <c r="D92" s="2" t="s">
        <v>35</v>
      </c>
      <c r="E92" s="2" t="s">
        <v>22</v>
      </c>
      <c r="F92" s="2">
        <v>205</v>
      </c>
      <c r="G92" s="2">
        <v>21400.397951219518</v>
      </c>
      <c r="H92" s="2">
        <v>4387081.580000001</v>
      </c>
      <c r="I92" s="2">
        <v>3127218.4100000635</v>
      </c>
      <c r="J92" s="2">
        <v>154</v>
      </c>
      <c r="K92" s="2">
        <v>20306.613051948465</v>
      </c>
      <c r="L92" s="2">
        <v>111</v>
      </c>
      <c r="M92" s="2">
        <v>28644.206036036037</v>
      </c>
      <c r="N92" s="2">
        <v>3179506.87</v>
      </c>
      <c r="O92" s="2">
        <v>4387081.580000001</v>
      </c>
      <c r="P92" s="2">
        <f t="shared" si="2"/>
        <v>205</v>
      </c>
      <c r="Q92" s="2">
        <f t="shared" si="3"/>
        <v>21400.397951219518</v>
      </c>
    </row>
    <row r="93" spans="1:17" ht="19.5" x14ac:dyDescent="0.25">
      <c r="A93" s="2" t="s">
        <v>33</v>
      </c>
      <c r="B93" s="2" t="s">
        <v>34</v>
      </c>
      <c r="C93" s="2" t="s">
        <v>19</v>
      </c>
      <c r="D93" s="2" t="s">
        <v>23</v>
      </c>
      <c r="E93" s="2" t="s">
        <v>21</v>
      </c>
      <c r="F93" s="2">
        <v>127</v>
      </c>
      <c r="G93" s="2">
        <v>1439.9623622047243</v>
      </c>
      <c r="H93" s="2">
        <v>182875.21999999997</v>
      </c>
      <c r="I93" s="2">
        <v>83348.89</v>
      </c>
      <c r="J93" s="2">
        <v>91</v>
      </c>
      <c r="K93" s="2">
        <v>915.92186813186811</v>
      </c>
      <c r="L93" s="2">
        <v>306</v>
      </c>
      <c r="M93" s="2">
        <v>968.53895424836583</v>
      </c>
      <c r="N93" s="2">
        <v>296372.91999999993</v>
      </c>
      <c r="O93" s="2">
        <v>296372.91999999993</v>
      </c>
      <c r="P93" s="2">
        <f t="shared" si="2"/>
        <v>306</v>
      </c>
      <c r="Q93" s="2">
        <f t="shared" si="3"/>
        <v>968.53895424836583</v>
      </c>
    </row>
    <row r="94" spans="1:17" ht="19.5" x14ac:dyDescent="0.25">
      <c r="A94" s="2" t="s">
        <v>33</v>
      </c>
      <c r="B94" s="2" t="s">
        <v>34</v>
      </c>
      <c r="C94" s="2" t="s">
        <v>19</v>
      </c>
      <c r="D94" s="2" t="s">
        <v>23</v>
      </c>
      <c r="E94" s="2" t="s">
        <v>22</v>
      </c>
      <c r="F94" s="2">
        <v>1004</v>
      </c>
      <c r="G94" s="2">
        <v>3200.4437450199198</v>
      </c>
      <c r="H94" s="2">
        <v>3213245.5199999996</v>
      </c>
      <c r="I94" s="2">
        <v>2871877.1600000155</v>
      </c>
      <c r="J94" s="2">
        <v>1224</v>
      </c>
      <c r="K94" s="2">
        <v>2346.3048692810585</v>
      </c>
      <c r="L94" s="2">
        <v>754</v>
      </c>
      <c r="M94" s="2">
        <v>2019.1159151193633</v>
      </c>
      <c r="N94" s="2">
        <v>1522413.4</v>
      </c>
      <c r="O94" s="2">
        <v>3213245.5199999996</v>
      </c>
      <c r="P94" s="2">
        <f t="shared" si="2"/>
        <v>1224</v>
      </c>
      <c r="Q94" s="2">
        <f t="shared" si="3"/>
        <v>2625.2005882352937</v>
      </c>
    </row>
    <row r="95" spans="1:17" ht="19.5" x14ac:dyDescent="0.25">
      <c r="A95" s="2" t="s">
        <v>33</v>
      </c>
      <c r="B95" s="2" t="s">
        <v>34</v>
      </c>
      <c r="C95" s="2" t="s">
        <v>19</v>
      </c>
      <c r="D95" s="2" t="s">
        <v>24</v>
      </c>
      <c r="E95" s="2" t="s">
        <v>21</v>
      </c>
      <c r="F95" s="2"/>
      <c r="G95" s="2">
        <v>0</v>
      </c>
      <c r="H95" s="2">
        <v>82748.570000000022</v>
      </c>
      <c r="I95" s="2">
        <v>72416.999999999985</v>
      </c>
      <c r="J95" s="2"/>
      <c r="K95" s="2">
        <v>0</v>
      </c>
      <c r="L95" s="2"/>
      <c r="M95" s="2">
        <v>0</v>
      </c>
      <c r="N95" s="2">
        <v>97170.71</v>
      </c>
      <c r="O95" s="2">
        <v>97170.71</v>
      </c>
      <c r="P95" s="2">
        <f t="shared" si="2"/>
        <v>0</v>
      </c>
      <c r="Q95" s="2"/>
    </row>
    <row r="96" spans="1:17" ht="19.5" x14ac:dyDescent="0.25">
      <c r="A96" s="2" t="s">
        <v>33</v>
      </c>
      <c r="B96" s="2" t="s">
        <v>34</v>
      </c>
      <c r="C96" s="2" t="s">
        <v>19</v>
      </c>
      <c r="D96" s="2" t="s">
        <v>24</v>
      </c>
      <c r="E96" s="2" t="s">
        <v>22</v>
      </c>
      <c r="F96" s="2"/>
      <c r="G96" s="2">
        <v>0</v>
      </c>
      <c r="H96" s="2">
        <v>9203.1699999999983</v>
      </c>
      <c r="I96" s="2">
        <v>5902.7300000000032</v>
      </c>
      <c r="J96" s="2"/>
      <c r="K96" s="2">
        <v>0</v>
      </c>
      <c r="L96" s="2"/>
      <c r="M96" s="2">
        <v>0</v>
      </c>
      <c r="N96" s="2">
        <v>17890.460000000003</v>
      </c>
      <c r="O96" s="2">
        <v>17890.460000000003</v>
      </c>
      <c r="P96" s="2">
        <f t="shared" si="2"/>
        <v>0</v>
      </c>
      <c r="Q96" s="2"/>
    </row>
    <row r="97" spans="1:17" ht="19.5" x14ac:dyDescent="0.25">
      <c r="A97" s="2" t="s">
        <v>33</v>
      </c>
      <c r="B97" s="2" t="s">
        <v>34</v>
      </c>
      <c r="C97" s="2" t="s">
        <v>19</v>
      </c>
      <c r="D97" s="2" t="s">
        <v>25</v>
      </c>
      <c r="E97" s="2" t="s">
        <v>21</v>
      </c>
      <c r="F97" s="2">
        <v>17</v>
      </c>
      <c r="G97" s="2">
        <v>55176.348235294114</v>
      </c>
      <c r="H97" s="2">
        <v>937997.91999999993</v>
      </c>
      <c r="I97" s="2">
        <v>546375.07000000088</v>
      </c>
      <c r="J97" s="2">
        <v>10</v>
      </c>
      <c r="K97" s="2">
        <v>54637.507000000085</v>
      </c>
      <c r="L97" s="2">
        <v>23</v>
      </c>
      <c r="M97" s="2">
        <v>58574.145217391306</v>
      </c>
      <c r="N97" s="2">
        <v>1347205.34</v>
      </c>
      <c r="O97" s="2">
        <v>1347205.34</v>
      </c>
      <c r="P97" s="2">
        <f t="shared" si="2"/>
        <v>23</v>
      </c>
      <c r="Q97" s="2">
        <f t="shared" si="3"/>
        <v>58574.145217391306</v>
      </c>
    </row>
    <row r="98" spans="1:17" ht="19.5" x14ac:dyDescent="0.25">
      <c r="A98" s="2" t="s">
        <v>33</v>
      </c>
      <c r="B98" s="2" t="s">
        <v>34</v>
      </c>
      <c r="C98" s="2" t="s">
        <v>19</v>
      </c>
      <c r="D98" s="2" t="s">
        <v>25</v>
      </c>
      <c r="E98" s="2" t="s">
        <v>22</v>
      </c>
      <c r="F98" s="2">
        <v>294</v>
      </c>
      <c r="G98" s="2">
        <v>47754.4740476191</v>
      </c>
      <c r="H98" s="2">
        <v>14039815.370000016</v>
      </c>
      <c r="I98" s="2">
        <v>12213126.820000291</v>
      </c>
      <c r="J98" s="2">
        <v>299</v>
      </c>
      <c r="K98" s="2">
        <v>40846.577993312007</v>
      </c>
      <c r="L98" s="2">
        <v>212</v>
      </c>
      <c r="M98" s="2">
        <v>47860.412830188739</v>
      </c>
      <c r="N98" s="2">
        <v>10146407.520000013</v>
      </c>
      <c r="O98" s="2">
        <v>14039815.370000016</v>
      </c>
      <c r="P98" s="2">
        <f t="shared" si="2"/>
        <v>299</v>
      </c>
      <c r="Q98" s="2">
        <f t="shared" si="3"/>
        <v>46955.904247491693</v>
      </c>
    </row>
    <row r="99" spans="1:17" ht="19.5" x14ac:dyDescent="0.25">
      <c r="A99" s="2" t="s">
        <v>33</v>
      </c>
      <c r="B99" s="2" t="s">
        <v>34</v>
      </c>
      <c r="C99" s="2" t="s">
        <v>19</v>
      </c>
      <c r="D99" s="2" t="s">
        <v>26</v>
      </c>
      <c r="E99" s="2" t="s">
        <v>21</v>
      </c>
      <c r="F99" s="2">
        <v>409</v>
      </c>
      <c r="G99" s="2">
        <v>9061.2634963325181</v>
      </c>
      <c r="H99" s="2">
        <v>3706056.77</v>
      </c>
      <c r="I99" s="2">
        <v>3200295.8000000282</v>
      </c>
      <c r="J99" s="2">
        <v>386</v>
      </c>
      <c r="K99" s="2">
        <v>8290.9217616581045</v>
      </c>
      <c r="L99" s="2">
        <v>217</v>
      </c>
      <c r="M99" s="2">
        <v>9692.7947004608322</v>
      </c>
      <c r="N99" s="2">
        <v>2103336.4500000007</v>
      </c>
      <c r="O99" s="2">
        <v>3706056.77</v>
      </c>
      <c r="P99" s="2">
        <f t="shared" si="2"/>
        <v>409</v>
      </c>
      <c r="Q99" s="2">
        <f t="shared" si="3"/>
        <v>9061.2634963325181</v>
      </c>
    </row>
    <row r="100" spans="1:17" ht="19.5" x14ac:dyDescent="0.25">
      <c r="A100" s="2" t="s">
        <v>33</v>
      </c>
      <c r="B100" s="2" t="s">
        <v>34</v>
      </c>
      <c r="C100" s="2" t="s">
        <v>19</v>
      </c>
      <c r="D100" s="2" t="s">
        <v>26</v>
      </c>
      <c r="E100" s="2" t="s">
        <v>22</v>
      </c>
      <c r="F100" s="2">
        <v>932</v>
      </c>
      <c r="G100" s="2">
        <v>12219.019935622304</v>
      </c>
      <c r="H100" s="2">
        <v>11388126.579999987</v>
      </c>
      <c r="I100" s="2">
        <v>11126380.849999372</v>
      </c>
      <c r="J100" s="2">
        <v>856</v>
      </c>
      <c r="K100" s="2">
        <v>12998.108469625435</v>
      </c>
      <c r="L100" s="2">
        <v>592</v>
      </c>
      <c r="M100" s="2">
        <v>10558.36515202703</v>
      </c>
      <c r="N100" s="2">
        <v>6250552.1700000018</v>
      </c>
      <c r="O100" s="2">
        <v>11388126.579999987</v>
      </c>
      <c r="P100" s="2">
        <f t="shared" si="2"/>
        <v>932</v>
      </c>
      <c r="Q100" s="2">
        <f t="shared" si="3"/>
        <v>12219.019935622304</v>
      </c>
    </row>
    <row r="101" spans="1:17" ht="19.5" x14ac:dyDescent="0.25">
      <c r="A101" s="2" t="s">
        <v>33</v>
      </c>
      <c r="B101" s="2" t="s">
        <v>34</v>
      </c>
      <c r="C101" s="2" t="s">
        <v>19</v>
      </c>
      <c r="D101" s="2" t="s">
        <v>27</v>
      </c>
      <c r="E101" s="2" t="s">
        <v>21</v>
      </c>
      <c r="F101" s="2">
        <v>2</v>
      </c>
      <c r="G101" s="2">
        <v>88555.640000000014</v>
      </c>
      <c r="H101" s="2">
        <v>177111.28000000003</v>
      </c>
      <c r="I101" s="2">
        <v>102929.83</v>
      </c>
      <c r="J101" s="2">
        <v>5</v>
      </c>
      <c r="K101" s="2">
        <v>20585.966</v>
      </c>
      <c r="L101" s="2">
        <v>1</v>
      </c>
      <c r="M101" s="2">
        <v>55518.8</v>
      </c>
      <c r="N101" s="2">
        <v>55518.8</v>
      </c>
      <c r="O101" s="2">
        <v>177111.28000000003</v>
      </c>
      <c r="P101" s="2">
        <f t="shared" si="2"/>
        <v>5</v>
      </c>
      <c r="Q101" s="2">
        <f t="shared" si="3"/>
        <v>35422.256000000008</v>
      </c>
    </row>
    <row r="102" spans="1:17" ht="19.5" x14ac:dyDescent="0.25">
      <c r="A102" s="2" t="s">
        <v>33</v>
      </c>
      <c r="B102" s="2" t="s">
        <v>34</v>
      </c>
      <c r="C102" s="2" t="s">
        <v>19</v>
      </c>
      <c r="D102" s="2" t="s">
        <v>27</v>
      </c>
      <c r="E102" s="2" t="s">
        <v>22</v>
      </c>
      <c r="F102" s="2">
        <v>17</v>
      </c>
      <c r="G102" s="2">
        <v>33787.369999999995</v>
      </c>
      <c r="H102" s="2">
        <v>574385.28999999992</v>
      </c>
      <c r="I102" s="2">
        <v>1160581.5899999933</v>
      </c>
      <c r="J102" s="2">
        <v>28</v>
      </c>
      <c r="K102" s="2">
        <v>41449.342499999759</v>
      </c>
      <c r="L102" s="2">
        <v>20</v>
      </c>
      <c r="M102" s="2">
        <v>62189.886999999988</v>
      </c>
      <c r="N102" s="2">
        <v>1243797.7399999998</v>
      </c>
      <c r="O102" s="2">
        <v>1243797.7399999998</v>
      </c>
      <c r="P102" s="2">
        <f t="shared" si="2"/>
        <v>28</v>
      </c>
      <c r="Q102" s="2">
        <f t="shared" si="3"/>
        <v>44421.34785714285</v>
      </c>
    </row>
    <row r="103" spans="1:17" ht="19.5" x14ac:dyDescent="0.25">
      <c r="A103" s="2" t="s">
        <v>33</v>
      </c>
      <c r="B103" s="2" t="s">
        <v>34</v>
      </c>
      <c r="C103" s="2" t="s">
        <v>19</v>
      </c>
      <c r="D103" s="2" t="s">
        <v>36</v>
      </c>
      <c r="E103" s="2" t="s">
        <v>21</v>
      </c>
      <c r="F103" s="2">
        <v>4</v>
      </c>
      <c r="G103" s="2">
        <v>124241.00499999998</v>
      </c>
      <c r="H103" s="2">
        <v>496964.0199999999</v>
      </c>
      <c r="I103" s="2"/>
      <c r="J103" s="2"/>
      <c r="K103" s="2"/>
      <c r="L103" s="2"/>
      <c r="M103" s="2"/>
      <c r="N103" s="2"/>
      <c r="O103" s="2">
        <v>496964.0199999999</v>
      </c>
      <c r="P103" s="2">
        <f t="shared" si="2"/>
        <v>4</v>
      </c>
      <c r="Q103" s="2">
        <f t="shared" si="3"/>
        <v>124241.00499999998</v>
      </c>
    </row>
    <row r="104" spans="1:17" ht="19.5" x14ac:dyDescent="0.25">
      <c r="A104" s="2" t="s">
        <v>33</v>
      </c>
      <c r="B104" s="2" t="s">
        <v>34</v>
      </c>
      <c r="C104" s="2" t="s">
        <v>19</v>
      </c>
      <c r="D104" s="2" t="s">
        <v>36</v>
      </c>
      <c r="E104" s="2" t="s">
        <v>22</v>
      </c>
      <c r="F104" s="2">
        <v>17</v>
      </c>
      <c r="G104" s="2">
        <v>52508.32823529411</v>
      </c>
      <c r="H104" s="2">
        <v>892641.57999999984</v>
      </c>
      <c r="I104" s="2">
        <v>880987.67</v>
      </c>
      <c r="J104" s="2">
        <v>13</v>
      </c>
      <c r="K104" s="2">
        <v>67768.282307692309</v>
      </c>
      <c r="L104" s="2">
        <v>6</v>
      </c>
      <c r="M104" s="2">
        <v>61098.006666666675</v>
      </c>
      <c r="N104" s="2">
        <v>366588.04000000004</v>
      </c>
      <c r="O104" s="2">
        <v>892641.57999999984</v>
      </c>
      <c r="P104" s="2">
        <f t="shared" si="2"/>
        <v>17</v>
      </c>
      <c r="Q104" s="2">
        <f t="shared" si="3"/>
        <v>52508.32823529411</v>
      </c>
    </row>
    <row r="105" spans="1:17" ht="19.5" x14ac:dyDescent="0.25">
      <c r="A105" s="2" t="s">
        <v>33</v>
      </c>
      <c r="B105" s="2" t="s">
        <v>34</v>
      </c>
      <c r="C105" s="2" t="s">
        <v>19</v>
      </c>
      <c r="D105" s="2" t="s">
        <v>28</v>
      </c>
      <c r="E105" s="2" t="s">
        <v>21</v>
      </c>
      <c r="F105" s="2">
        <v>6910</v>
      </c>
      <c r="G105" s="2">
        <v>529.4555441389291</v>
      </c>
      <c r="H105" s="2">
        <v>3658537.81</v>
      </c>
      <c r="I105" s="2">
        <v>2403629.6800000155</v>
      </c>
      <c r="J105" s="2">
        <v>5028</v>
      </c>
      <c r="K105" s="2">
        <v>478.04886237072702</v>
      </c>
      <c r="L105" s="2">
        <v>5218</v>
      </c>
      <c r="M105" s="2">
        <v>576.73857416634723</v>
      </c>
      <c r="N105" s="2">
        <v>3009421.88</v>
      </c>
      <c r="O105" s="2">
        <v>3658537.81</v>
      </c>
      <c r="P105" s="2">
        <f t="shared" si="2"/>
        <v>6910</v>
      </c>
      <c r="Q105" s="2">
        <f t="shared" si="3"/>
        <v>529.4555441389291</v>
      </c>
    </row>
    <row r="106" spans="1:17" ht="19.5" x14ac:dyDescent="0.25">
      <c r="A106" s="2" t="s">
        <v>33</v>
      </c>
      <c r="B106" s="2" t="s">
        <v>34</v>
      </c>
      <c r="C106" s="2" t="s">
        <v>19</v>
      </c>
      <c r="D106" s="2" t="s">
        <v>28</v>
      </c>
      <c r="E106" s="2" t="s">
        <v>22</v>
      </c>
      <c r="F106" s="2">
        <v>10698</v>
      </c>
      <c r="G106" s="2">
        <v>750.6148298747429</v>
      </c>
      <c r="H106" s="2">
        <v>8030077.4499999993</v>
      </c>
      <c r="I106" s="2">
        <v>7420285.869999771</v>
      </c>
      <c r="J106" s="2">
        <v>9871</v>
      </c>
      <c r="K106" s="2">
        <v>751.72585047105372</v>
      </c>
      <c r="L106" s="2">
        <v>6756</v>
      </c>
      <c r="M106" s="2">
        <v>711.50622261693286</v>
      </c>
      <c r="N106" s="2">
        <v>4806936.0399999982</v>
      </c>
      <c r="O106" s="2">
        <v>8030077.4499999993</v>
      </c>
      <c r="P106" s="2">
        <f t="shared" si="2"/>
        <v>10698</v>
      </c>
      <c r="Q106" s="2">
        <f t="shared" si="3"/>
        <v>750.6148298747429</v>
      </c>
    </row>
    <row r="107" spans="1:17" ht="19.5" x14ac:dyDescent="0.25">
      <c r="A107" s="2" t="s">
        <v>33</v>
      </c>
      <c r="B107" s="2" t="s">
        <v>34</v>
      </c>
      <c r="C107" s="2" t="s">
        <v>19</v>
      </c>
      <c r="D107" s="2" t="s">
        <v>29</v>
      </c>
      <c r="E107" s="2" t="s">
        <v>21</v>
      </c>
      <c r="F107" s="2">
        <v>1</v>
      </c>
      <c r="G107" s="2">
        <v>61317.76999999999</v>
      </c>
      <c r="H107" s="2">
        <v>61317.76999999999</v>
      </c>
      <c r="I107" s="2">
        <v>8515.75</v>
      </c>
      <c r="J107" s="2">
        <v>1</v>
      </c>
      <c r="K107" s="2">
        <v>8515.75</v>
      </c>
      <c r="L107" s="2">
        <v>4</v>
      </c>
      <c r="M107" s="2">
        <v>20531.035</v>
      </c>
      <c r="N107" s="2">
        <v>82124.14</v>
      </c>
      <c r="O107" s="2">
        <v>82124.14</v>
      </c>
      <c r="P107" s="2">
        <f t="shared" si="2"/>
        <v>4</v>
      </c>
      <c r="Q107" s="2">
        <f t="shared" si="3"/>
        <v>20531.035</v>
      </c>
    </row>
    <row r="108" spans="1:17" ht="19.5" x14ac:dyDescent="0.25">
      <c r="A108" s="2" t="s">
        <v>33</v>
      </c>
      <c r="B108" s="2" t="s">
        <v>34</v>
      </c>
      <c r="C108" s="2" t="s">
        <v>19</v>
      </c>
      <c r="D108" s="2" t="s">
        <v>29</v>
      </c>
      <c r="E108" s="2" t="s">
        <v>22</v>
      </c>
      <c r="F108" s="2">
        <v>39</v>
      </c>
      <c r="G108" s="2">
        <v>21657.385897435899</v>
      </c>
      <c r="H108" s="2">
        <v>844638.05</v>
      </c>
      <c r="I108" s="2">
        <v>521067.63999999542</v>
      </c>
      <c r="J108" s="2">
        <v>43</v>
      </c>
      <c r="K108" s="2">
        <v>12117.85209302315</v>
      </c>
      <c r="L108" s="2">
        <v>11</v>
      </c>
      <c r="M108" s="2">
        <v>17677.564545454548</v>
      </c>
      <c r="N108" s="2">
        <v>194453.21000000002</v>
      </c>
      <c r="O108" s="2">
        <v>844638.05</v>
      </c>
      <c r="P108" s="2">
        <f t="shared" si="2"/>
        <v>43</v>
      </c>
      <c r="Q108" s="2">
        <f t="shared" si="3"/>
        <v>19642.745348837212</v>
      </c>
    </row>
    <row r="109" spans="1:17" ht="19.5" x14ac:dyDescent="0.25">
      <c r="A109" s="2" t="s">
        <v>33</v>
      </c>
      <c r="B109" s="2" t="s">
        <v>34</v>
      </c>
      <c r="C109" s="2" t="s">
        <v>30</v>
      </c>
      <c r="D109" s="2" t="s">
        <v>20</v>
      </c>
      <c r="E109" s="2" t="s">
        <v>21</v>
      </c>
      <c r="F109" s="2"/>
      <c r="G109" s="2"/>
      <c r="H109" s="2"/>
      <c r="I109" s="2">
        <v>5994.2800000000007</v>
      </c>
      <c r="J109" s="2"/>
      <c r="K109" s="2">
        <v>0</v>
      </c>
      <c r="L109" s="2"/>
      <c r="M109" s="2"/>
      <c r="N109" s="2"/>
      <c r="O109" s="2">
        <v>5994.2800000000007</v>
      </c>
      <c r="P109" s="2">
        <f t="shared" si="2"/>
        <v>0</v>
      </c>
      <c r="Q109" s="2"/>
    </row>
    <row r="110" spans="1:17" ht="19.5" x14ac:dyDescent="0.25">
      <c r="A110" s="2" t="s">
        <v>33</v>
      </c>
      <c r="B110" s="2" t="s">
        <v>34</v>
      </c>
      <c r="C110" s="2" t="s">
        <v>30</v>
      </c>
      <c r="D110" s="2" t="s">
        <v>20</v>
      </c>
      <c r="E110" s="2" t="s">
        <v>22</v>
      </c>
      <c r="F110" s="2">
        <v>13</v>
      </c>
      <c r="G110" s="2">
        <v>13655.800769230769</v>
      </c>
      <c r="H110" s="2">
        <v>177525.41</v>
      </c>
      <c r="I110" s="2">
        <v>173738.36</v>
      </c>
      <c r="J110" s="2">
        <v>7</v>
      </c>
      <c r="K110" s="2">
        <v>24819.765714285713</v>
      </c>
      <c r="L110" s="2"/>
      <c r="M110" s="2"/>
      <c r="N110" s="2"/>
      <c r="O110" s="2">
        <v>177525.41</v>
      </c>
      <c r="P110" s="2">
        <f t="shared" si="2"/>
        <v>13</v>
      </c>
      <c r="Q110" s="2">
        <f t="shared" si="3"/>
        <v>13655.800769230769</v>
      </c>
    </row>
    <row r="111" spans="1:17" ht="19.5" x14ac:dyDescent="0.25">
      <c r="A111" s="2" t="s">
        <v>33</v>
      </c>
      <c r="B111" s="2" t="s">
        <v>34</v>
      </c>
      <c r="C111" s="2" t="s">
        <v>30</v>
      </c>
      <c r="D111" s="2" t="s">
        <v>35</v>
      </c>
      <c r="E111" s="2" t="s">
        <v>21</v>
      </c>
      <c r="F111" s="2">
        <v>8</v>
      </c>
      <c r="G111" s="2">
        <v>18391.964999999997</v>
      </c>
      <c r="H111" s="2">
        <v>147135.71999999997</v>
      </c>
      <c r="I111" s="2">
        <v>55135.770000000004</v>
      </c>
      <c r="J111" s="2">
        <v>3</v>
      </c>
      <c r="K111" s="2">
        <v>18378.59</v>
      </c>
      <c r="L111" s="2">
        <v>4</v>
      </c>
      <c r="M111" s="2">
        <v>5429.6900000000005</v>
      </c>
      <c r="N111" s="2">
        <v>21718.760000000002</v>
      </c>
      <c r="O111" s="2">
        <v>147135.71999999997</v>
      </c>
      <c r="P111" s="2">
        <f t="shared" si="2"/>
        <v>8</v>
      </c>
      <c r="Q111" s="2">
        <f t="shared" si="3"/>
        <v>18391.964999999997</v>
      </c>
    </row>
    <row r="112" spans="1:17" ht="19.5" x14ac:dyDescent="0.25">
      <c r="A112" s="2" t="s">
        <v>33</v>
      </c>
      <c r="B112" s="2" t="s">
        <v>34</v>
      </c>
      <c r="C112" s="2" t="s">
        <v>30</v>
      </c>
      <c r="D112" s="2" t="s">
        <v>35</v>
      </c>
      <c r="E112" s="2" t="s">
        <v>22</v>
      </c>
      <c r="F112" s="2">
        <v>203</v>
      </c>
      <c r="G112" s="2">
        <v>21411.332216748775</v>
      </c>
      <c r="H112" s="2">
        <v>4346500.4400000013</v>
      </c>
      <c r="I112" s="2">
        <v>4726790.5500000063</v>
      </c>
      <c r="J112" s="2">
        <v>176</v>
      </c>
      <c r="K112" s="2">
        <v>26856.7644886364</v>
      </c>
      <c r="L112" s="2">
        <v>104</v>
      </c>
      <c r="M112" s="2">
        <v>28554.401249999995</v>
      </c>
      <c r="N112" s="2">
        <v>2969657.7299999995</v>
      </c>
      <c r="O112" s="2">
        <v>4726790.5500000063</v>
      </c>
      <c r="P112" s="2">
        <f t="shared" si="2"/>
        <v>203</v>
      </c>
      <c r="Q112" s="2">
        <f t="shared" si="3"/>
        <v>23284.682512315303</v>
      </c>
    </row>
    <row r="113" spans="1:17" ht="19.5" x14ac:dyDescent="0.25">
      <c r="A113" s="2" t="s">
        <v>33</v>
      </c>
      <c r="B113" s="2" t="s">
        <v>34</v>
      </c>
      <c r="C113" s="2" t="s">
        <v>30</v>
      </c>
      <c r="D113" s="2" t="s">
        <v>23</v>
      </c>
      <c r="E113" s="2" t="s">
        <v>21</v>
      </c>
      <c r="F113" s="2">
        <v>119</v>
      </c>
      <c r="G113" s="2">
        <v>1449.8713445378146</v>
      </c>
      <c r="H113" s="2">
        <v>172534.68999999994</v>
      </c>
      <c r="I113" s="2">
        <v>13013.750000000005</v>
      </c>
      <c r="J113" s="2">
        <v>45</v>
      </c>
      <c r="K113" s="2">
        <v>289.19444444444457</v>
      </c>
      <c r="L113" s="2">
        <v>270</v>
      </c>
      <c r="M113" s="2">
        <v>972.94100000000026</v>
      </c>
      <c r="N113" s="2">
        <v>262694.07000000007</v>
      </c>
      <c r="O113" s="2">
        <v>262694.07000000007</v>
      </c>
      <c r="P113" s="2">
        <f t="shared" si="2"/>
        <v>270</v>
      </c>
      <c r="Q113" s="2">
        <f t="shared" si="3"/>
        <v>972.94100000000026</v>
      </c>
    </row>
    <row r="114" spans="1:17" ht="19.5" x14ac:dyDescent="0.25">
      <c r="A114" s="2" t="s">
        <v>33</v>
      </c>
      <c r="B114" s="2" t="s">
        <v>34</v>
      </c>
      <c r="C114" s="2" t="s">
        <v>30</v>
      </c>
      <c r="D114" s="2" t="s">
        <v>23</v>
      </c>
      <c r="E114" s="2" t="s">
        <v>22</v>
      </c>
      <c r="F114" s="2">
        <v>975</v>
      </c>
      <c r="G114" s="2">
        <v>2833.1956820512819</v>
      </c>
      <c r="H114" s="2">
        <v>2762365.79</v>
      </c>
      <c r="I114" s="2">
        <v>3900338.1099999975</v>
      </c>
      <c r="J114" s="2">
        <v>1402</v>
      </c>
      <c r="K114" s="2">
        <v>2781.9815335235362</v>
      </c>
      <c r="L114" s="2">
        <v>796</v>
      </c>
      <c r="M114" s="2">
        <v>1577.830753768844</v>
      </c>
      <c r="N114" s="2">
        <v>1255953.2799999998</v>
      </c>
      <c r="O114" s="2">
        <v>3900338.1099999975</v>
      </c>
      <c r="P114" s="2">
        <f t="shared" si="2"/>
        <v>1402</v>
      </c>
      <c r="Q114" s="2">
        <f t="shared" si="3"/>
        <v>2781.9815335235362</v>
      </c>
    </row>
    <row r="115" spans="1:17" ht="19.5" x14ac:dyDescent="0.25">
      <c r="A115" s="2" t="s">
        <v>33</v>
      </c>
      <c r="B115" s="2" t="s">
        <v>34</v>
      </c>
      <c r="C115" s="2" t="s">
        <v>30</v>
      </c>
      <c r="D115" s="2" t="s">
        <v>24</v>
      </c>
      <c r="E115" s="2" t="s">
        <v>21</v>
      </c>
      <c r="F115" s="2"/>
      <c r="G115" s="2">
        <v>0</v>
      </c>
      <c r="H115" s="2">
        <v>80616.580000000016</v>
      </c>
      <c r="I115" s="2">
        <v>89157.049999999872</v>
      </c>
      <c r="J115" s="2"/>
      <c r="K115" s="2">
        <v>0</v>
      </c>
      <c r="L115" s="2"/>
      <c r="M115" s="2">
        <v>0</v>
      </c>
      <c r="N115" s="2">
        <v>89779.99</v>
      </c>
      <c r="O115" s="2">
        <v>89779.99</v>
      </c>
      <c r="P115" s="2">
        <f t="shared" si="2"/>
        <v>0</v>
      </c>
      <c r="Q115" s="2"/>
    </row>
    <row r="116" spans="1:17" ht="19.5" x14ac:dyDescent="0.25">
      <c r="A116" s="2" t="s">
        <v>33</v>
      </c>
      <c r="B116" s="2" t="s">
        <v>34</v>
      </c>
      <c r="C116" s="2" t="s">
        <v>30</v>
      </c>
      <c r="D116" s="2" t="s">
        <v>24</v>
      </c>
      <c r="E116" s="2" t="s">
        <v>22</v>
      </c>
      <c r="F116" s="2"/>
      <c r="G116" s="2">
        <v>0</v>
      </c>
      <c r="H116" s="2">
        <v>9120.2199999999993</v>
      </c>
      <c r="I116" s="2">
        <v>10901.879999999996</v>
      </c>
      <c r="J116" s="2"/>
      <c r="K116" s="2">
        <v>0</v>
      </c>
      <c r="L116" s="2"/>
      <c r="M116" s="2">
        <v>0</v>
      </c>
      <c r="N116" s="2">
        <v>7915.409999999998</v>
      </c>
      <c r="O116" s="2">
        <v>10901.879999999996</v>
      </c>
      <c r="P116" s="2">
        <f t="shared" si="2"/>
        <v>0</v>
      </c>
      <c r="Q116" s="2"/>
    </row>
    <row r="117" spans="1:17" ht="19.5" x14ac:dyDescent="0.25">
      <c r="A117" s="2" t="s">
        <v>33</v>
      </c>
      <c r="B117" s="2" t="s">
        <v>34</v>
      </c>
      <c r="C117" s="2" t="s">
        <v>30</v>
      </c>
      <c r="D117" s="2" t="s">
        <v>25</v>
      </c>
      <c r="E117" s="2" t="s">
        <v>21</v>
      </c>
      <c r="F117" s="2">
        <v>16</v>
      </c>
      <c r="G117" s="2">
        <v>56722.84375</v>
      </c>
      <c r="H117" s="2">
        <v>907565.5</v>
      </c>
      <c r="I117" s="2">
        <v>244762.53000000017</v>
      </c>
      <c r="J117" s="2">
        <v>8</v>
      </c>
      <c r="K117" s="2">
        <v>30595.316250000022</v>
      </c>
      <c r="L117" s="2">
        <v>8</v>
      </c>
      <c r="M117" s="2">
        <v>67293.038750000007</v>
      </c>
      <c r="N117" s="2">
        <v>538344.31000000006</v>
      </c>
      <c r="O117" s="2">
        <v>907565.5</v>
      </c>
      <c r="P117" s="2">
        <f t="shared" si="2"/>
        <v>16</v>
      </c>
      <c r="Q117" s="2">
        <f t="shared" si="3"/>
        <v>56722.84375</v>
      </c>
    </row>
    <row r="118" spans="1:17" ht="19.5" x14ac:dyDescent="0.25">
      <c r="A118" s="2" t="s">
        <v>33</v>
      </c>
      <c r="B118" s="2" t="s">
        <v>34</v>
      </c>
      <c r="C118" s="2" t="s">
        <v>30</v>
      </c>
      <c r="D118" s="2" t="s">
        <v>25</v>
      </c>
      <c r="E118" s="2" t="s">
        <v>22</v>
      </c>
      <c r="F118" s="2">
        <v>287</v>
      </c>
      <c r="G118" s="2">
        <v>47024.082787456493</v>
      </c>
      <c r="H118" s="2">
        <v>13495911.760000013</v>
      </c>
      <c r="I118" s="2">
        <v>13625220.560000705</v>
      </c>
      <c r="J118" s="2">
        <v>266</v>
      </c>
      <c r="K118" s="2">
        <v>51222.633684213179</v>
      </c>
      <c r="L118" s="2">
        <v>202</v>
      </c>
      <c r="M118" s="2">
        <v>46884.171287128745</v>
      </c>
      <c r="N118" s="2">
        <v>9470602.6000000071</v>
      </c>
      <c r="O118" s="2">
        <v>13625220.560000705</v>
      </c>
      <c r="P118" s="2">
        <f t="shared" si="2"/>
        <v>287</v>
      </c>
      <c r="Q118" s="2">
        <f t="shared" si="3"/>
        <v>47474.636097563431</v>
      </c>
    </row>
    <row r="119" spans="1:17" ht="19.5" x14ac:dyDescent="0.25">
      <c r="A119" s="2" t="s">
        <v>33</v>
      </c>
      <c r="B119" s="2" t="s">
        <v>34</v>
      </c>
      <c r="C119" s="2" t="s">
        <v>30</v>
      </c>
      <c r="D119" s="2" t="s">
        <v>26</v>
      </c>
      <c r="E119" s="2" t="s">
        <v>21</v>
      </c>
      <c r="F119" s="2">
        <v>385</v>
      </c>
      <c r="G119" s="2">
        <v>8870.0139480519465</v>
      </c>
      <c r="H119" s="2">
        <v>3414955.3699999996</v>
      </c>
      <c r="I119" s="2">
        <v>3359788.2600000501</v>
      </c>
      <c r="J119" s="2">
        <v>449</v>
      </c>
      <c r="K119" s="2">
        <v>7482.8246325168157</v>
      </c>
      <c r="L119" s="2">
        <v>159</v>
      </c>
      <c r="M119" s="2">
        <v>10721.200503144655</v>
      </c>
      <c r="N119" s="2">
        <v>1704670.8800000001</v>
      </c>
      <c r="O119" s="2">
        <v>3414955.3699999996</v>
      </c>
      <c r="P119" s="2">
        <f t="shared" si="2"/>
        <v>449</v>
      </c>
      <c r="Q119" s="2">
        <f t="shared" si="3"/>
        <v>7605.6912472160348</v>
      </c>
    </row>
    <row r="120" spans="1:17" ht="19.5" x14ac:dyDescent="0.25">
      <c r="A120" s="2" t="s">
        <v>33</v>
      </c>
      <c r="B120" s="2" t="s">
        <v>34</v>
      </c>
      <c r="C120" s="2" t="s">
        <v>30</v>
      </c>
      <c r="D120" s="2" t="s">
        <v>26</v>
      </c>
      <c r="E120" s="2" t="s">
        <v>22</v>
      </c>
      <c r="F120" s="2">
        <v>905</v>
      </c>
      <c r="G120" s="2">
        <v>12404.488696132585</v>
      </c>
      <c r="H120" s="2">
        <v>11226062.269999988</v>
      </c>
      <c r="I120" s="2">
        <v>12993485.740000078</v>
      </c>
      <c r="J120" s="2">
        <v>965</v>
      </c>
      <c r="K120" s="2">
        <v>13464.752062176247</v>
      </c>
      <c r="L120" s="2">
        <v>543</v>
      </c>
      <c r="M120" s="2">
        <v>10748.978158379376</v>
      </c>
      <c r="N120" s="2">
        <v>5836695.1400000006</v>
      </c>
      <c r="O120" s="2">
        <v>12993485.740000078</v>
      </c>
      <c r="P120" s="2">
        <f t="shared" si="2"/>
        <v>965</v>
      </c>
      <c r="Q120" s="2">
        <f t="shared" si="3"/>
        <v>13464.752062176247</v>
      </c>
    </row>
    <row r="121" spans="1:17" ht="19.5" x14ac:dyDescent="0.25">
      <c r="A121" s="2" t="s">
        <v>33</v>
      </c>
      <c r="B121" s="2" t="s">
        <v>34</v>
      </c>
      <c r="C121" s="2" t="s">
        <v>30</v>
      </c>
      <c r="D121" s="2" t="s">
        <v>27</v>
      </c>
      <c r="E121" s="2" t="s">
        <v>21</v>
      </c>
      <c r="F121" s="2">
        <v>2</v>
      </c>
      <c r="G121" s="2">
        <v>87236.580000000016</v>
      </c>
      <c r="H121" s="2">
        <v>174473.16000000003</v>
      </c>
      <c r="I121" s="2">
        <v>36701.839999999997</v>
      </c>
      <c r="J121" s="2">
        <v>1</v>
      </c>
      <c r="K121" s="2">
        <v>36701.839999999997</v>
      </c>
      <c r="L121" s="2">
        <v>1</v>
      </c>
      <c r="M121" s="2">
        <v>41101.32</v>
      </c>
      <c r="N121" s="2">
        <v>41101.32</v>
      </c>
      <c r="O121" s="2">
        <v>174473.16000000003</v>
      </c>
      <c r="P121" s="2">
        <f t="shared" si="2"/>
        <v>2</v>
      </c>
      <c r="Q121" s="2">
        <f t="shared" si="3"/>
        <v>87236.580000000016</v>
      </c>
    </row>
    <row r="122" spans="1:17" ht="19.5" x14ac:dyDescent="0.25">
      <c r="A122" s="2" t="s">
        <v>33</v>
      </c>
      <c r="B122" s="2" t="s">
        <v>34</v>
      </c>
      <c r="C122" s="2" t="s">
        <v>30</v>
      </c>
      <c r="D122" s="2" t="s">
        <v>27</v>
      </c>
      <c r="E122" s="2" t="s">
        <v>22</v>
      </c>
      <c r="F122" s="2">
        <v>16</v>
      </c>
      <c r="G122" s="2">
        <v>35403.682499999995</v>
      </c>
      <c r="H122" s="2">
        <v>566458.91999999993</v>
      </c>
      <c r="I122" s="2">
        <v>834060.42999999912</v>
      </c>
      <c r="J122" s="2">
        <v>18</v>
      </c>
      <c r="K122" s="2">
        <v>46336.690555555506</v>
      </c>
      <c r="L122" s="2">
        <v>23</v>
      </c>
      <c r="M122" s="2">
        <v>38390.527391304349</v>
      </c>
      <c r="N122" s="2">
        <v>882982.13</v>
      </c>
      <c r="O122" s="2">
        <v>882982.13</v>
      </c>
      <c r="P122" s="2">
        <f t="shared" si="2"/>
        <v>23</v>
      </c>
      <c r="Q122" s="2">
        <f t="shared" si="3"/>
        <v>38390.527391304349</v>
      </c>
    </row>
    <row r="123" spans="1:17" ht="19.5" x14ac:dyDescent="0.25">
      <c r="A123" s="2" t="s">
        <v>33</v>
      </c>
      <c r="B123" s="2" t="s">
        <v>34</v>
      </c>
      <c r="C123" s="2" t="s">
        <v>30</v>
      </c>
      <c r="D123" s="2" t="s">
        <v>36</v>
      </c>
      <c r="E123" s="2" t="s">
        <v>21</v>
      </c>
      <c r="F123" s="2">
        <v>4</v>
      </c>
      <c r="G123" s="2">
        <v>122119.63749999998</v>
      </c>
      <c r="H123" s="2">
        <v>488478.54999999993</v>
      </c>
      <c r="I123" s="2">
        <v>38739.200000000004</v>
      </c>
      <c r="J123" s="2">
        <v>1</v>
      </c>
      <c r="K123" s="2">
        <v>38739.200000000004</v>
      </c>
      <c r="L123" s="2"/>
      <c r="M123" s="2"/>
      <c r="N123" s="2"/>
      <c r="O123" s="2">
        <v>488478.54999999993</v>
      </c>
      <c r="P123" s="2">
        <f t="shared" si="2"/>
        <v>4</v>
      </c>
      <c r="Q123" s="2">
        <f t="shared" si="3"/>
        <v>122119.63749999998</v>
      </c>
    </row>
    <row r="124" spans="1:17" ht="19.5" x14ac:dyDescent="0.25">
      <c r="A124" s="2" t="s">
        <v>33</v>
      </c>
      <c r="B124" s="2" t="s">
        <v>34</v>
      </c>
      <c r="C124" s="2" t="s">
        <v>30</v>
      </c>
      <c r="D124" s="2" t="s">
        <v>36</v>
      </c>
      <c r="E124" s="2" t="s">
        <v>22</v>
      </c>
      <c r="F124" s="2">
        <v>16</v>
      </c>
      <c r="G124" s="2">
        <v>53753.468749999985</v>
      </c>
      <c r="H124" s="2">
        <v>860055.49999999977</v>
      </c>
      <c r="I124" s="2">
        <v>868027.71000000357</v>
      </c>
      <c r="J124" s="2">
        <v>15</v>
      </c>
      <c r="K124" s="2">
        <v>57868.514000000236</v>
      </c>
      <c r="L124" s="2">
        <v>7</v>
      </c>
      <c r="M124" s="2">
        <v>52048.924285714289</v>
      </c>
      <c r="N124" s="2">
        <v>364342.47000000003</v>
      </c>
      <c r="O124" s="2">
        <v>868027.71000000357</v>
      </c>
      <c r="P124" s="2">
        <f t="shared" si="2"/>
        <v>16</v>
      </c>
      <c r="Q124" s="2">
        <f t="shared" si="3"/>
        <v>54251.731875000223</v>
      </c>
    </row>
    <row r="125" spans="1:17" ht="19.5" x14ac:dyDescent="0.25">
      <c r="A125" s="2" t="s">
        <v>33</v>
      </c>
      <c r="B125" s="2" t="s">
        <v>34</v>
      </c>
      <c r="C125" s="2" t="s">
        <v>30</v>
      </c>
      <c r="D125" s="2" t="s">
        <v>28</v>
      </c>
      <c r="E125" s="2" t="s">
        <v>21</v>
      </c>
      <c r="F125" s="2">
        <v>6670</v>
      </c>
      <c r="G125" s="2">
        <v>530.77258470764616</v>
      </c>
      <c r="H125" s="2">
        <v>3540253.14</v>
      </c>
      <c r="I125" s="2">
        <v>3166774.00999999</v>
      </c>
      <c r="J125" s="2">
        <v>6789</v>
      </c>
      <c r="K125" s="2">
        <v>466.45662247753575</v>
      </c>
      <c r="L125" s="2">
        <v>4644</v>
      </c>
      <c r="M125" s="2">
        <v>589.26012273901824</v>
      </c>
      <c r="N125" s="2">
        <v>2736524.0100000007</v>
      </c>
      <c r="O125" s="2">
        <v>3540253.14</v>
      </c>
      <c r="P125" s="2">
        <f t="shared" si="2"/>
        <v>6789</v>
      </c>
      <c r="Q125" s="2">
        <f t="shared" si="3"/>
        <v>521.4690145824128</v>
      </c>
    </row>
    <row r="126" spans="1:17" ht="19.5" x14ac:dyDescent="0.25">
      <c r="A126" s="2" t="s">
        <v>33</v>
      </c>
      <c r="B126" s="2" t="s">
        <v>34</v>
      </c>
      <c r="C126" s="2" t="s">
        <v>30</v>
      </c>
      <c r="D126" s="2" t="s">
        <v>28</v>
      </c>
      <c r="E126" s="2" t="s">
        <v>22</v>
      </c>
      <c r="F126" s="2">
        <v>10344</v>
      </c>
      <c r="G126" s="2">
        <v>751.07875483371993</v>
      </c>
      <c r="H126" s="2">
        <v>7769158.6399999987</v>
      </c>
      <c r="I126" s="2">
        <v>9776402.5000001807</v>
      </c>
      <c r="J126" s="2">
        <v>12715</v>
      </c>
      <c r="K126" s="2">
        <v>768.88733779002598</v>
      </c>
      <c r="L126" s="2">
        <v>6039</v>
      </c>
      <c r="M126" s="2">
        <v>707.44530054644758</v>
      </c>
      <c r="N126" s="2">
        <v>4272262.1699999971</v>
      </c>
      <c r="O126" s="2">
        <v>9776402.5000001807</v>
      </c>
      <c r="P126" s="2">
        <f t="shared" si="2"/>
        <v>12715</v>
      </c>
      <c r="Q126" s="2">
        <f t="shared" si="3"/>
        <v>768.88733779002598</v>
      </c>
    </row>
    <row r="127" spans="1:17" ht="19.5" x14ac:dyDescent="0.25">
      <c r="A127" s="2" t="s">
        <v>33</v>
      </c>
      <c r="B127" s="2" t="s">
        <v>34</v>
      </c>
      <c r="C127" s="2" t="s">
        <v>30</v>
      </c>
      <c r="D127" s="2" t="s">
        <v>29</v>
      </c>
      <c r="E127" s="2" t="s">
        <v>21</v>
      </c>
      <c r="F127" s="2">
        <v>1</v>
      </c>
      <c r="G127" s="2">
        <v>61317.76999999999</v>
      </c>
      <c r="H127" s="2">
        <v>61317.76999999999</v>
      </c>
      <c r="I127" s="2">
        <v>102890.25</v>
      </c>
      <c r="J127" s="2">
        <v>3</v>
      </c>
      <c r="K127" s="2">
        <v>34296.75</v>
      </c>
      <c r="L127" s="2"/>
      <c r="M127" s="2"/>
      <c r="N127" s="2"/>
      <c r="O127" s="2">
        <v>102890.25</v>
      </c>
      <c r="P127" s="2">
        <f t="shared" si="2"/>
        <v>3</v>
      </c>
      <c r="Q127" s="2">
        <f t="shared" si="3"/>
        <v>34296.75</v>
      </c>
    </row>
    <row r="128" spans="1:17" ht="19.5" x14ac:dyDescent="0.25">
      <c r="A128" s="2" t="s">
        <v>33</v>
      </c>
      <c r="B128" s="2" t="s">
        <v>34</v>
      </c>
      <c r="C128" s="2" t="s">
        <v>30</v>
      </c>
      <c r="D128" s="2" t="s">
        <v>29</v>
      </c>
      <c r="E128" s="2" t="s">
        <v>22</v>
      </c>
      <c r="F128" s="2">
        <v>37</v>
      </c>
      <c r="G128" s="2">
        <v>21011.795135135137</v>
      </c>
      <c r="H128" s="2">
        <v>777436.42</v>
      </c>
      <c r="I128" s="2">
        <v>616327.86000000325</v>
      </c>
      <c r="J128" s="2">
        <v>44</v>
      </c>
      <c r="K128" s="2">
        <v>14007.451363636437</v>
      </c>
      <c r="L128" s="2">
        <v>8</v>
      </c>
      <c r="M128" s="2">
        <v>33640.943749999991</v>
      </c>
      <c r="N128" s="2">
        <v>269127.54999999993</v>
      </c>
      <c r="O128" s="2">
        <v>777436.42</v>
      </c>
      <c r="P128" s="2">
        <f t="shared" si="2"/>
        <v>44</v>
      </c>
      <c r="Q128" s="2">
        <f t="shared" si="3"/>
        <v>17669.009545454548</v>
      </c>
    </row>
    <row r="129" spans="1:17" ht="19.5" x14ac:dyDescent="0.25">
      <c r="A129" s="2" t="s">
        <v>33</v>
      </c>
      <c r="B129" s="2" t="s">
        <v>34</v>
      </c>
      <c r="C129" s="2" t="s">
        <v>31</v>
      </c>
      <c r="D129" s="2" t="s">
        <v>20</v>
      </c>
      <c r="E129" s="2" t="s">
        <v>22</v>
      </c>
      <c r="F129" s="2">
        <v>13</v>
      </c>
      <c r="G129" s="2">
        <v>13655.800769230769</v>
      </c>
      <c r="H129" s="2">
        <v>177525.41</v>
      </c>
      <c r="I129" s="2"/>
      <c r="J129" s="2"/>
      <c r="K129" s="2"/>
      <c r="L129" s="2">
        <v>5</v>
      </c>
      <c r="M129" s="2">
        <v>60172.784</v>
      </c>
      <c r="N129" s="2">
        <v>300863.92</v>
      </c>
      <c r="O129" s="2">
        <v>300863.92</v>
      </c>
      <c r="P129" s="2">
        <f t="shared" si="2"/>
        <v>13</v>
      </c>
      <c r="Q129" s="2">
        <f t="shared" si="3"/>
        <v>23143.378461538461</v>
      </c>
    </row>
    <row r="130" spans="1:17" ht="19.5" x14ac:dyDescent="0.25">
      <c r="A130" s="2" t="s">
        <v>33</v>
      </c>
      <c r="B130" s="2" t="s">
        <v>34</v>
      </c>
      <c r="C130" s="2" t="s">
        <v>31</v>
      </c>
      <c r="D130" s="2" t="s">
        <v>35</v>
      </c>
      <c r="E130" s="2" t="s">
        <v>21</v>
      </c>
      <c r="F130" s="2">
        <v>9</v>
      </c>
      <c r="G130" s="2">
        <v>26010.248888888884</v>
      </c>
      <c r="H130" s="2">
        <v>234092.23999999996</v>
      </c>
      <c r="I130" s="2">
        <v>152968.91999999995</v>
      </c>
      <c r="J130" s="2">
        <v>5</v>
      </c>
      <c r="K130" s="2">
        <v>30593.783999999992</v>
      </c>
      <c r="L130" s="2">
        <v>4</v>
      </c>
      <c r="M130" s="2">
        <v>26321.14000000001</v>
      </c>
      <c r="N130" s="2">
        <v>105284.56000000004</v>
      </c>
      <c r="O130" s="2">
        <v>234092.23999999996</v>
      </c>
      <c r="P130" s="2">
        <f t="shared" si="2"/>
        <v>9</v>
      </c>
      <c r="Q130" s="2">
        <f t="shared" si="3"/>
        <v>26010.248888888884</v>
      </c>
    </row>
    <row r="131" spans="1:17" ht="19.5" x14ac:dyDescent="0.25">
      <c r="A131" s="2" t="s">
        <v>33</v>
      </c>
      <c r="B131" s="2" t="s">
        <v>34</v>
      </c>
      <c r="C131" s="2" t="s">
        <v>31</v>
      </c>
      <c r="D131" s="2" t="s">
        <v>35</v>
      </c>
      <c r="E131" s="2" t="s">
        <v>22</v>
      </c>
      <c r="F131" s="2">
        <v>205</v>
      </c>
      <c r="G131" s="2">
        <v>21400.397951219518</v>
      </c>
      <c r="H131" s="2">
        <v>4387081.580000001</v>
      </c>
      <c r="I131" s="2">
        <v>2937679.9499999946</v>
      </c>
      <c r="J131" s="2">
        <v>60</v>
      </c>
      <c r="K131" s="2">
        <v>48961.332499999909</v>
      </c>
      <c r="L131" s="2">
        <v>122</v>
      </c>
      <c r="M131" s="2">
        <v>27145.528852459011</v>
      </c>
      <c r="N131" s="2">
        <v>3311754.5199999991</v>
      </c>
      <c r="O131" s="2">
        <v>4387081.580000001</v>
      </c>
      <c r="P131" s="2">
        <f t="shared" ref="P131:P147" si="4">MAX(L131,J131,F131)</f>
        <v>205</v>
      </c>
      <c r="Q131" s="2">
        <f t="shared" ref="Q131:Q147" si="5">O131/P131</f>
        <v>21400.397951219518</v>
      </c>
    </row>
    <row r="132" spans="1:17" ht="19.5" x14ac:dyDescent="0.25">
      <c r="A132" s="2" t="s">
        <v>33</v>
      </c>
      <c r="B132" s="2" t="s">
        <v>34</v>
      </c>
      <c r="C132" s="2" t="s">
        <v>31</v>
      </c>
      <c r="D132" s="2" t="s">
        <v>23</v>
      </c>
      <c r="E132" s="2" t="s">
        <v>21</v>
      </c>
      <c r="F132" s="2">
        <v>127</v>
      </c>
      <c r="G132" s="2">
        <v>1439.9623622047243</v>
      </c>
      <c r="H132" s="2">
        <v>182875.21999999997</v>
      </c>
      <c r="I132" s="2">
        <v>222735.44000000024</v>
      </c>
      <c r="J132" s="2">
        <v>141</v>
      </c>
      <c r="K132" s="2">
        <v>1579.6839716312074</v>
      </c>
      <c r="L132" s="2">
        <v>192</v>
      </c>
      <c r="M132" s="2">
        <v>1109.4445312500002</v>
      </c>
      <c r="N132" s="2">
        <v>213013.35000000003</v>
      </c>
      <c r="O132" s="2">
        <v>222735.44000000024</v>
      </c>
      <c r="P132" s="2">
        <f t="shared" si="4"/>
        <v>192</v>
      </c>
      <c r="Q132" s="2">
        <f t="shared" si="5"/>
        <v>1160.0804166666678</v>
      </c>
    </row>
    <row r="133" spans="1:17" ht="19.5" x14ac:dyDescent="0.25">
      <c r="A133" s="2" t="s">
        <v>33</v>
      </c>
      <c r="B133" s="2" t="s">
        <v>34</v>
      </c>
      <c r="C133" s="2" t="s">
        <v>31</v>
      </c>
      <c r="D133" s="2" t="s">
        <v>23</v>
      </c>
      <c r="E133" s="2" t="s">
        <v>22</v>
      </c>
      <c r="F133" s="2">
        <v>1004</v>
      </c>
      <c r="G133" s="2">
        <v>3200.4437450199198</v>
      </c>
      <c r="H133" s="2">
        <v>3213245.5199999996</v>
      </c>
      <c r="I133" s="2">
        <v>1981830.6299999808</v>
      </c>
      <c r="J133" s="2">
        <v>609</v>
      </c>
      <c r="K133" s="2">
        <v>3254.2374876846975</v>
      </c>
      <c r="L133" s="2">
        <v>749</v>
      </c>
      <c r="M133" s="2">
        <v>1684.8150600801062</v>
      </c>
      <c r="N133" s="2">
        <v>1261926.4799999995</v>
      </c>
      <c r="O133" s="2">
        <v>3213245.5199999996</v>
      </c>
      <c r="P133" s="2">
        <f t="shared" si="4"/>
        <v>1004</v>
      </c>
      <c r="Q133" s="2">
        <f t="shared" si="5"/>
        <v>3200.4437450199198</v>
      </c>
    </row>
    <row r="134" spans="1:17" ht="19.5" x14ac:dyDescent="0.25">
      <c r="A134" s="2" t="s">
        <v>33</v>
      </c>
      <c r="B134" s="2" t="s">
        <v>34</v>
      </c>
      <c r="C134" s="2" t="s">
        <v>31</v>
      </c>
      <c r="D134" s="2" t="s">
        <v>24</v>
      </c>
      <c r="E134" s="2" t="s">
        <v>21</v>
      </c>
      <c r="F134" s="2"/>
      <c r="G134" s="2">
        <v>0</v>
      </c>
      <c r="H134" s="2">
        <v>82748.570000000022</v>
      </c>
      <c r="I134" s="2">
        <v>76436.000000000146</v>
      </c>
      <c r="J134" s="2"/>
      <c r="K134" s="2">
        <v>0</v>
      </c>
      <c r="L134" s="2"/>
      <c r="M134" s="2">
        <v>0</v>
      </c>
      <c r="N134" s="2">
        <v>90285.34</v>
      </c>
      <c r="O134" s="2">
        <v>90285.34</v>
      </c>
      <c r="P134" s="2">
        <f t="shared" si="4"/>
        <v>0</v>
      </c>
      <c r="Q134" s="2"/>
    </row>
    <row r="135" spans="1:17" ht="19.5" x14ac:dyDescent="0.25">
      <c r="A135" s="2" t="s">
        <v>33</v>
      </c>
      <c r="B135" s="2" t="s">
        <v>34</v>
      </c>
      <c r="C135" s="2" t="s">
        <v>31</v>
      </c>
      <c r="D135" s="2" t="s">
        <v>24</v>
      </c>
      <c r="E135" s="2" t="s">
        <v>22</v>
      </c>
      <c r="F135" s="2"/>
      <c r="G135" s="2">
        <v>0</v>
      </c>
      <c r="H135" s="2">
        <v>9203.1699999999983</v>
      </c>
      <c r="I135" s="2">
        <v>58811.430000000008</v>
      </c>
      <c r="J135" s="2"/>
      <c r="K135" s="2">
        <v>0</v>
      </c>
      <c r="L135" s="2"/>
      <c r="M135" s="2">
        <v>0</v>
      </c>
      <c r="N135" s="2">
        <v>9455.3000000000011</v>
      </c>
      <c r="O135" s="2">
        <v>58811.430000000008</v>
      </c>
      <c r="P135" s="2">
        <f t="shared" si="4"/>
        <v>0</v>
      </c>
      <c r="Q135" s="2"/>
    </row>
    <row r="136" spans="1:17" ht="19.5" x14ac:dyDescent="0.25">
      <c r="A136" s="2" t="s">
        <v>33</v>
      </c>
      <c r="B136" s="2" t="s">
        <v>34</v>
      </c>
      <c r="C136" s="2" t="s">
        <v>31</v>
      </c>
      <c r="D136" s="2" t="s">
        <v>25</v>
      </c>
      <c r="E136" s="2" t="s">
        <v>21</v>
      </c>
      <c r="F136" s="2">
        <v>17</v>
      </c>
      <c r="G136" s="2">
        <v>55176.348235294114</v>
      </c>
      <c r="H136" s="2">
        <v>937997.91999999993</v>
      </c>
      <c r="I136" s="2">
        <v>216464.98999999982</v>
      </c>
      <c r="J136" s="2">
        <v>6</v>
      </c>
      <c r="K136" s="2">
        <v>36077.4983333333</v>
      </c>
      <c r="L136" s="2">
        <v>12</v>
      </c>
      <c r="M136" s="2">
        <v>40932.01</v>
      </c>
      <c r="N136" s="2">
        <v>491184.12000000005</v>
      </c>
      <c r="O136" s="2">
        <v>937997.91999999993</v>
      </c>
      <c r="P136" s="2">
        <f t="shared" si="4"/>
        <v>17</v>
      </c>
      <c r="Q136" s="2">
        <f t="shared" si="5"/>
        <v>55176.348235294114</v>
      </c>
    </row>
    <row r="137" spans="1:17" ht="19.5" x14ac:dyDescent="0.25">
      <c r="A137" s="2" t="s">
        <v>33</v>
      </c>
      <c r="B137" s="2" t="s">
        <v>34</v>
      </c>
      <c r="C137" s="2" t="s">
        <v>31</v>
      </c>
      <c r="D137" s="2" t="s">
        <v>25</v>
      </c>
      <c r="E137" s="2" t="s">
        <v>22</v>
      </c>
      <c r="F137" s="2">
        <v>294</v>
      </c>
      <c r="G137" s="2">
        <v>47754.4740476191</v>
      </c>
      <c r="H137" s="2">
        <v>14039815.370000016</v>
      </c>
      <c r="I137" s="2">
        <v>8946821.7900000326</v>
      </c>
      <c r="J137" s="2">
        <v>89</v>
      </c>
      <c r="K137" s="2">
        <v>100526.08752809025</v>
      </c>
      <c r="L137" s="2">
        <v>189</v>
      </c>
      <c r="M137" s="2">
        <v>46009.060105820179</v>
      </c>
      <c r="N137" s="2">
        <v>8695712.3600000143</v>
      </c>
      <c r="O137" s="2">
        <v>14039815.370000016</v>
      </c>
      <c r="P137" s="2">
        <f t="shared" si="4"/>
        <v>294</v>
      </c>
      <c r="Q137" s="2">
        <f t="shared" si="5"/>
        <v>47754.4740476191</v>
      </c>
    </row>
    <row r="138" spans="1:17" ht="19.5" x14ac:dyDescent="0.25">
      <c r="A138" s="2" t="s">
        <v>33</v>
      </c>
      <c r="B138" s="2" t="s">
        <v>34</v>
      </c>
      <c r="C138" s="2" t="s">
        <v>31</v>
      </c>
      <c r="D138" s="2" t="s">
        <v>26</v>
      </c>
      <c r="E138" s="2" t="s">
        <v>21</v>
      </c>
      <c r="F138" s="2">
        <v>409</v>
      </c>
      <c r="G138" s="2">
        <v>9061.2634963325181</v>
      </c>
      <c r="H138" s="2">
        <v>3706056.77</v>
      </c>
      <c r="I138" s="2">
        <v>3873246.8700000038</v>
      </c>
      <c r="J138" s="2">
        <v>259</v>
      </c>
      <c r="K138" s="2">
        <v>14954.621119691135</v>
      </c>
      <c r="L138" s="2">
        <v>216</v>
      </c>
      <c r="M138" s="2">
        <v>10677.317685185188</v>
      </c>
      <c r="N138" s="2">
        <v>2306300.6200000006</v>
      </c>
      <c r="O138" s="2">
        <v>3873246.8700000038</v>
      </c>
      <c r="P138" s="2">
        <f t="shared" si="4"/>
        <v>409</v>
      </c>
      <c r="Q138" s="2">
        <f t="shared" si="5"/>
        <v>9470.0412469437742</v>
      </c>
    </row>
    <row r="139" spans="1:17" ht="19.5" x14ac:dyDescent="0.25">
      <c r="A139" s="2" t="s">
        <v>33</v>
      </c>
      <c r="B139" s="2" t="s">
        <v>34</v>
      </c>
      <c r="C139" s="2" t="s">
        <v>31</v>
      </c>
      <c r="D139" s="2" t="s">
        <v>26</v>
      </c>
      <c r="E139" s="2" t="s">
        <v>22</v>
      </c>
      <c r="F139" s="2">
        <v>932</v>
      </c>
      <c r="G139" s="2">
        <v>12219.019935622304</v>
      </c>
      <c r="H139" s="2">
        <v>11388126.579999987</v>
      </c>
      <c r="I139" s="2">
        <v>13217557.639999885</v>
      </c>
      <c r="J139" s="2">
        <v>464</v>
      </c>
      <c r="K139" s="2">
        <v>28486.11560344803</v>
      </c>
      <c r="L139" s="2">
        <v>655</v>
      </c>
      <c r="M139" s="2">
        <v>11838.584000000003</v>
      </c>
      <c r="N139" s="2">
        <v>7754272.5200000014</v>
      </c>
      <c r="O139" s="2">
        <v>13217557.639999885</v>
      </c>
      <c r="P139" s="2">
        <f t="shared" si="4"/>
        <v>932</v>
      </c>
      <c r="Q139" s="2">
        <f t="shared" si="5"/>
        <v>14181.928798283139</v>
      </c>
    </row>
    <row r="140" spans="1:17" ht="19.5" x14ac:dyDescent="0.25">
      <c r="A140" s="2" t="s">
        <v>33</v>
      </c>
      <c r="B140" s="2" t="s">
        <v>34</v>
      </c>
      <c r="C140" s="2" t="s">
        <v>31</v>
      </c>
      <c r="D140" s="2" t="s">
        <v>27</v>
      </c>
      <c r="E140" s="2" t="s">
        <v>21</v>
      </c>
      <c r="F140" s="2">
        <v>2</v>
      </c>
      <c r="G140" s="2">
        <v>88555.640000000014</v>
      </c>
      <c r="H140" s="2">
        <v>177111.28000000003</v>
      </c>
      <c r="I140" s="2"/>
      <c r="J140" s="2"/>
      <c r="K140" s="2"/>
      <c r="L140" s="2">
        <v>1</v>
      </c>
      <c r="M140" s="2">
        <v>43790.68</v>
      </c>
      <c r="N140" s="2">
        <v>43790.68</v>
      </c>
      <c r="O140" s="2">
        <v>177111.28000000003</v>
      </c>
      <c r="P140" s="2">
        <f t="shared" si="4"/>
        <v>2</v>
      </c>
      <c r="Q140" s="2">
        <f t="shared" si="5"/>
        <v>88555.640000000014</v>
      </c>
    </row>
    <row r="141" spans="1:17" ht="19.5" x14ac:dyDescent="0.25">
      <c r="A141" s="2" t="s">
        <v>33</v>
      </c>
      <c r="B141" s="2" t="s">
        <v>34</v>
      </c>
      <c r="C141" s="2" t="s">
        <v>31</v>
      </c>
      <c r="D141" s="2" t="s">
        <v>27</v>
      </c>
      <c r="E141" s="2" t="s">
        <v>22</v>
      </c>
      <c r="F141" s="2">
        <v>17</v>
      </c>
      <c r="G141" s="2">
        <v>33787.369999999995</v>
      </c>
      <c r="H141" s="2">
        <v>574385.28999999992</v>
      </c>
      <c r="I141" s="2"/>
      <c r="J141" s="2"/>
      <c r="K141" s="2"/>
      <c r="L141" s="2">
        <v>18</v>
      </c>
      <c r="M141" s="2">
        <v>59731.618888888894</v>
      </c>
      <c r="N141" s="2">
        <v>1075169.1400000001</v>
      </c>
      <c r="O141" s="2">
        <v>1075169.1400000001</v>
      </c>
      <c r="P141" s="2">
        <f t="shared" si="4"/>
        <v>18</v>
      </c>
      <c r="Q141" s="2">
        <f t="shared" si="5"/>
        <v>59731.618888888894</v>
      </c>
    </row>
    <row r="142" spans="1:17" ht="19.5" x14ac:dyDescent="0.25">
      <c r="A142" s="2" t="s">
        <v>33</v>
      </c>
      <c r="B142" s="2" t="s">
        <v>34</v>
      </c>
      <c r="C142" s="2" t="s">
        <v>31</v>
      </c>
      <c r="D142" s="2" t="s">
        <v>36</v>
      </c>
      <c r="E142" s="2" t="s">
        <v>21</v>
      </c>
      <c r="F142" s="2">
        <v>4</v>
      </c>
      <c r="G142" s="2">
        <v>124241.00499999998</v>
      </c>
      <c r="H142" s="2">
        <v>496964.0199999999</v>
      </c>
      <c r="I142" s="2"/>
      <c r="J142" s="2"/>
      <c r="K142" s="2"/>
      <c r="L142" s="2"/>
      <c r="M142" s="2"/>
      <c r="N142" s="2"/>
      <c r="O142" s="2">
        <v>496964.0199999999</v>
      </c>
      <c r="P142" s="2">
        <f t="shared" si="4"/>
        <v>4</v>
      </c>
      <c r="Q142" s="2">
        <f t="shared" si="5"/>
        <v>124241.00499999998</v>
      </c>
    </row>
    <row r="143" spans="1:17" ht="19.5" x14ac:dyDescent="0.25">
      <c r="A143" s="2" t="s">
        <v>33</v>
      </c>
      <c r="B143" s="2" t="s">
        <v>34</v>
      </c>
      <c r="C143" s="2" t="s">
        <v>31</v>
      </c>
      <c r="D143" s="2" t="s">
        <v>36</v>
      </c>
      <c r="E143" s="2" t="s">
        <v>22</v>
      </c>
      <c r="F143" s="2">
        <v>17</v>
      </c>
      <c r="G143" s="2">
        <v>52508.32823529411</v>
      </c>
      <c r="H143" s="2">
        <v>892641.57999999984</v>
      </c>
      <c r="I143" s="2"/>
      <c r="J143" s="2"/>
      <c r="K143" s="2"/>
      <c r="L143" s="2">
        <v>6</v>
      </c>
      <c r="M143" s="2">
        <v>60478.363333333342</v>
      </c>
      <c r="N143" s="2">
        <v>362870.18000000005</v>
      </c>
      <c r="O143" s="2">
        <v>892641.57999999984</v>
      </c>
      <c r="P143" s="2">
        <f t="shared" si="4"/>
        <v>17</v>
      </c>
      <c r="Q143" s="2">
        <f t="shared" si="5"/>
        <v>52508.32823529411</v>
      </c>
    </row>
    <row r="144" spans="1:17" ht="19.5" x14ac:dyDescent="0.25">
      <c r="A144" s="2" t="s">
        <v>33</v>
      </c>
      <c r="B144" s="2" t="s">
        <v>34</v>
      </c>
      <c r="C144" s="2" t="s">
        <v>31</v>
      </c>
      <c r="D144" s="2" t="s">
        <v>28</v>
      </c>
      <c r="E144" s="2" t="s">
        <v>21</v>
      </c>
      <c r="F144" s="2">
        <v>6910</v>
      </c>
      <c r="G144" s="2">
        <v>529.4555441389291</v>
      </c>
      <c r="H144" s="2">
        <v>3658537.81</v>
      </c>
      <c r="I144" s="2">
        <v>1546611.8200000022</v>
      </c>
      <c r="J144" s="2">
        <v>1968</v>
      </c>
      <c r="K144" s="2">
        <v>785.87998983739942</v>
      </c>
      <c r="L144" s="2">
        <v>5766</v>
      </c>
      <c r="M144" s="2">
        <v>547.03757544224766</v>
      </c>
      <c r="N144" s="2">
        <v>3154218.6599999997</v>
      </c>
      <c r="O144" s="2">
        <v>3658537.81</v>
      </c>
      <c r="P144" s="2">
        <f t="shared" si="4"/>
        <v>6910</v>
      </c>
      <c r="Q144" s="2">
        <f t="shared" si="5"/>
        <v>529.4555441389291</v>
      </c>
    </row>
    <row r="145" spans="1:17" ht="19.5" x14ac:dyDescent="0.25">
      <c r="A145" s="2" t="s">
        <v>33</v>
      </c>
      <c r="B145" s="2" t="s">
        <v>34</v>
      </c>
      <c r="C145" s="2" t="s">
        <v>31</v>
      </c>
      <c r="D145" s="2" t="s">
        <v>28</v>
      </c>
      <c r="E145" s="2" t="s">
        <v>22</v>
      </c>
      <c r="F145" s="2">
        <v>10698</v>
      </c>
      <c r="G145" s="2">
        <v>750.6148298747429</v>
      </c>
      <c r="H145" s="2">
        <v>8030077.4499999993</v>
      </c>
      <c r="I145" s="2">
        <v>2820963.1800000351</v>
      </c>
      <c r="J145" s="2">
        <v>3145</v>
      </c>
      <c r="K145" s="2">
        <v>896.96762480128302</v>
      </c>
      <c r="L145" s="2">
        <v>7955</v>
      </c>
      <c r="M145" s="2">
        <v>745.14145191703176</v>
      </c>
      <c r="N145" s="2">
        <v>5927600.2499999879</v>
      </c>
      <c r="O145" s="2">
        <v>8030077.4499999993</v>
      </c>
      <c r="P145" s="2">
        <f t="shared" si="4"/>
        <v>10698</v>
      </c>
      <c r="Q145" s="2">
        <f t="shared" si="5"/>
        <v>750.6148298747429</v>
      </c>
    </row>
    <row r="146" spans="1:17" ht="19.5" x14ac:dyDescent="0.25">
      <c r="A146" s="2" t="s">
        <v>33</v>
      </c>
      <c r="B146" s="2" t="s">
        <v>34</v>
      </c>
      <c r="C146" s="2" t="s">
        <v>31</v>
      </c>
      <c r="D146" s="2" t="s">
        <v>29</v>
      </c>
      <c r="E146" s="2" t="s">
        <v>21</v>
      </c>
      <c r="F146" s="2">
        <v>1</v>
      </c>
      <c r="G146" s="2">
        <v>61317.76999999999</v>
      </c>
      <c r="H146" s="2">
        <v>61317.76999999999</v>
      </c>
      <c r="I146" s="2"/>
      <c r="J146" s="2"/>
      <c r="K146" s="2"/>
      <c r="L146" s="2">
        <v>2</v>
      </c>
      <c r="M146" s="2">
        <v>30628.685000000005</v>
      </c>
      <c r="N146" s="2">
        <v>61257.37000000001</v>
      </c>
      <c r="O146" s="2">
        <v>61317.76999999999</v>
      </c>
      <c r="P146" s="2">
        <f t="shared" si="4"/>
        <v>2</v>
      </c>
      <c r="Q146" s="2">
        <f t="shared" si="5"/>
        <v>30658.884999999995</v>
      </c>
    </row>
    <row r="147" spans="1:17" ht="19.5" x14ac:dyDescent="0.25">
      <c r="A147" s="2" t="s">
        <v>33</v>
      </c>
      <c r="B147" s="2" t="s">
        <v>34</v>
      </c>
      <c r="C147" s="2" t="s">
        <v>31</v>
      </c>
      <c r="D147" s="2" t="s">
        <v>29</v>
      </c>
      <c r="E147" s="2" t="s">
        <v>22</v>
      </c>
      <c r="F147" s="2">
        <v>39</v>
      </c>
      <c r="G147" s="2">
        <v>21657.385897435899</v>
      </c>
      <c r="H147" s="2">
        <v>844638.05</v>
      </c>
      <c r="I147" s="2"/>
      <c r="J147" s="2"/>
      <c r="K147" s="2"/>
      <c r="L147" s="2">
        <v>21</v>
      </c>
      <c r="M147" s="2">
        <v>26140.017619047623</v>
      </c>
      <c r="N147" s="2">
        <v>548940.37000000011</v>
      </c>
      <c r="O147" s="2">
        <v>844638.05</v>
      </c>
      <c r="P147" s="2">
        <f t="shared" si="4"/>
        <v>39</v>
      </c>
      <c r="Q147" s="2">
        <f t="shared" si="5"/>
        <v>21657.385897435899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activeCell="C19" sqref="C19"/>
    </sheetView>
  </sheetViews>
  <sheetFormatPr defaultRowHeight="15" x14ac:dyDescent="0.25"/>
  <cols>
    <col min="1" max="1" width="9.28515625" bestFit="1" customWidth="1"/>
    <col min="2" max="2" width="14" bestFit="1" customWidth="1"/>
    <col min="3" max="3" width="27.28515625" bestFit="1" customWidth="1"/>
    <col min="4" max="5" width="24.7109375" bestFit="1" customWidth="1"/>
    <col min="6" max="6" width="23.7109375" bestFit="1" customWidth="1"/>
    <col min="7" max="7" width="26.28515625" bestFit="1" customWidth="1"/>
    <col min="8" max="8" width="21.42578125" bestFit="1" customWidth="1"/>
    <col min="9" max="9" width="19" bestFit="1" customWidth="1"/>
    <col min="10" max="10" width="23.7109375" bestFit="1" customWidth="1"/>
    <col min="11" max="11" width="19" bestFit="1" customWidth="1"/>
  </cols>
  <sheetData>
    <row r="1" spans="1:11" ht="19.5" x14ac:dyDescent="0.25">
      <c r="A1" s="2" t="s">
        <v>1</v>
      </c>
      <c r="B1" s="2" t="s">
        <v>2</v>
      </c>
      <c r="C1" s="2" t="s">
        <v>7</v>
      </c>
      <c r="D1" s="2" t="s">
        <v>8</v>
      </c>
      <c r="E1" s="2" t="s">
        <v>14</v>
      </c>
      <c r="F1" s="2" t="s">
        <v>9</v>
      </c>
      <c r="G1" s="2" t="s">
        <v>5</v>
      </c>
      <c r="H1" s="2" t="s">
        <v>37</v>
      </c>
      <c r="I1" s="2" t="s">
        <v>38</v>
      </c>
      <c r="J1" s="2" t="s">
        <v>15</v>
      </c>
      <c r="K1" s="2" t="s">
        <v>39</v>
      </c>
    </row>
    <row r="2" spans="1:11" ht="19.5" x14ac:dyDescent="0.25">
      <c r="A2" s="2" t="s">
        <v>18</v>
      </c>
      <c r="B2" s="2" t="s">
        <v>19</v>
      </c>
      <c r="C2" s="2">
        <v>12111980.449999996</v>
      </c>
      <c r="D2" s="2">
        <v>12152616.329999983</v>
      </c>
      <c r="E2" s="2">
        <v>21154833.999999613</v>
      </c>
      <c r="F2" s="2">
        <v>7647</v>
      </c>
      <c r="G2" s="2">
        <v>8993</v>
      </c>
      <c r="H2" s="2">
        <v>1346.8231346602909</v>
      </c>
      <c r="I2" s="2">
        <v>1589.2005139270279</v>
      </c>
      <c r="J2" s="2">
        <v>11917.000000000164</v>
      </c>
      <c r="K2" s="2">
        <v>1775.1811697574324</v>
      </c>
    </row>
    <row r="3" spans="1:11" ht="19.5" x14ac:dyDescent="0.25">
      <c r="A3" s="2" t="s">
        <v>18</v>
      </c>
      <c r="B3" s="2" t="s">
        <v>30</v>
      </c>
      <c r="C3" s="2">
        <v>11683297.509999996</v>
      </c>
      <c r="D3" s="2">
        <v>15184071.599999949</v>
      </c>
      <c r="E3" s="2">
        <v>21248173.999999747</v>
      </c>
      <c r="F3" s="2">
        <v>9442</v>
      </c>
      <c r="G3" s="2">
        <v>8722</v>
      </c>
      <c r="H3" s="2">
        <v>1339.5204666360921</v>
      </c>
      <c r="I3" s="2">
        <v>1608.1414530819688</v>
      </c>
      <c r="J3" s="2">
        <v>12245.000000000031</v>
      </c>
      <c r="K3" s="2">
        <v>1735.2530828909507</v>
      </c>
    </row>
    <row r="4" spans="1:11" ht="19.5" x14ac:dyDescent="0.25">
      <c r="A4" s="2" t="s">
        <v>18</v>
      </c>
      <c r="B4" s="2" t="s">
        <v>31</v>
      </c>
      <c r="C4" s="2">
        <v>12111980.449999996</v>
      </c>
      <c r="D4" s="2">
        <v>5143092.9699999979</v>
      </c>
      <c r="E4" s="2">
        <v>21394563.000000101</v>
      </c>
      <c r="F4" s="2">
        <v>3531</v>
      </c>
      <c r="G4" s="2">
        <v>8993</v>
      </c>
      <c r="H4" s="2">
        <v>1346.8231346602909</v>
      </c>
      <c r="I4" s="2">
        <v>1456.5542254318884</v>
      </c>
      <c r="J4" s="2">
        <v>12124.999999999847</v>
      </c>
      <c r="K4" s="2">
        <v>1764.5000412371439</v>
      </c>
    </row>
    <row r="5" spans="1:11" ht="19.5" x14ac:dyDescent="0.25">
      <c r="A5" s="2" t="s">
        <v>32</v>
      </c>
      <c r="B5" s="2" t="s">
        <v>19</v>
      </c>
      <c r="C5" s="2">
        <v>5976774.8599999994</v>
      </c>
      <c r="D5" s="2">
        <v>4373517.4299999783</v>
      </c>
      <c r="E5" s="2">
        <v>18670653.000000186</v>
      </c>
      <c r="F5" s="2">
        <v>3666</v>
      </c>
      <c r="G5" s="2">
        <v>5015</v>
      </c>
      <c r="H5" s="2">
        <v>1191.7796331006978</v>
      </c>
      <c r="I5" s="2">
        <v>1192.9943889798085</v>
      </c>
      <c r="J5" s="2">
        <v>10488.6000000001</v>
      </c>
      <c r="K5" s="2">
        <v>1780.0900978204916</v>
      </c>
    </row>
    <row r="6" spans="1:11" ht="19.5" x14ac:dyDescent="0.25">
      <c r="A6" s="2" t="s">
        <v>32</v>
      </c>
      <c r="B6" s="2" t="s">
        <v>30</v>
      </c>
      <c r="C6" s="2">
        <v>5650457.71</v>
      </c>
      <c r="D6" s="2">
        <v>7527882.9999999935</v>
      </c>
      <c r="E6" s="2">
        <v>18908956.199999921</v>
      </c>
      <c r="F6" s="2">
        <v>4409</v>
      </c>
      <c r="G6" s="2">
        <v>4875</v>
      </c>
      <c r="H6" s="2">
        <v>1159.0682482051282</v>
      </c>
      <c r="I6" s="2">
        <v>1707.3901111363107</v>
      </c>
      <c r="J6" s="2">
        <v>10547.999999999916</v>
      </c>
      <c r="K6" s="2">
        <v>1792.6579635950011</v>
      </c>
    </row>
    <row r="7" spans="1:11" ht="19.5" x14ac:dyDescent="0.25">
      <c r="A7" s="2" t="s">
        <v>32</v>
      </c>
      <c r="B7" s="2" t="s">
        <v>31</v>
      </c>
      <c r="C7" s="2">
        <v>5976774.8599999994</v>
      </c>
      <c r="D7" s="2">
        <v>2266731.6799999969</v>
      </c>
      <c r="E7" s="2">
        <v>19745702.399999969</v>
      </c>
      <c r="F7" s="2">
        <v>1647</v>
      </c>
      <c r="G7" s="2">
        <v>5015</v>
      </c>
      <c r="H7" s="2">
        <v>1191.7796331006978</v>
      </c>
      <c r="I7" s="2">
        <v>1376.2791013964766</v>
      </c>
      <c r="J7" s="2">
        <v>10574.999999999907</v>
      </c>
      <c r="K7" s="2">
        <v>1867.2059007092332</v>
      </c>
    </row>
    <row r="8" spans="1:11" ht="19.5" x14ac:dyDescent="0.25">
      <c r="A8" s="2" t="s">
        <v>34</v>
      </c>
      <c r="B8" s="2" t="s">
        <v>19</v>
      </c>
      <c r="C8" s="2">
        <v>10156243.319999998</v>
      </c>
      <c r="D8" s="2">
        <v>8917910.520000048</v>
      </c>
      <c r="E8" s="2">
        <v>9402229.339833146</v>
      </c>
      <c r="F8" s="2">
        <v>9135</v>
      </c>
      <c r="G8" s="2">
        <v>10090</v>
      </c>
      <c r="H8" s="2">
        <v>1006.5652447968284</v>
      </c>
      <c r="I8" s="2">
        <v>976.23541543514477</v>
      </c>
      <c r="J8" s="2">
        <v>13426.739951633541</v>
      </c>
      <c r="K8" s="2">
        <v>700.26152094270958</v>
      </c>
    </row>
    <row r="9" spans="1:11" ht="19.5" x14ac:dyDescent="0.25">
      <c r="A9" s="2" t="s">
        <v>34</v>
      </c>
      <c r="B9" s="2" t="s">
        <v>30</v>
      </c>
      <c r="C9" s="2">
        <v>9663488.6699999981</v>
      </c>
      <c r="D9" s="2">
        <v>11970838.840000018</v>
      </c>
      <c r="E9" s="2">
        <v>8931897.4299999699</v>
      </c>
      <c r="F9" s="2">
        <v>11591</v>
      </c>
      <c r="G9" s="2">
        <v>9695</v>
      </c>
      <c r="H9" s="2">
        <v>996.74973388344483</v>
      </c>
      <c r="I9" s="2">
        <v>1032.7701527046863</v>
      </c>
      <c r="J9" s="2">
        <v>13056.979790000294</v>
      </c>
      <c r="K9" s="2">
        <v>684.07070958633756</v>
      </c>
    </row>
    <row r="10" spans="1:11" ht="19.5" x14ac:dyDescent="0.25">
      <c r="A10" s="2" t="s">
        <v>34</v>
      </c>
      <c r="B10" s="2" t="s">
        <v>31</v>
      </c>
      <c r="C10" s="2">
        <v>10156243.319999998</v>
      </c>
      <c r="D10" s="2">
        <v>5079175.5699999882</v>
      </c>
      <c r="E10" s="2">
        <v>11225932.885300064</v>
      </c>
      <c r="F10" s="2">
        <v>3227</v>
      </c>
      <c r="G10" s="2">
        <v>10090</v>
      </c>
      <c r="H10" s="2">
        <v>1006.5652447968284</v>
      </c>
      <c r="I10" s="2">
        <v>1573.9620607375234</v>
      </c>
      <c r="J10" s="2">
        <v>16569.320000000076</v>
      </c>
      <c r="K10" s="2">
        <v>677.51319217083221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selection activeCell="B2" sqref="B2:B10"/>
    </sheetView>
  </sheetViews>
  <sheetFormatPr defaultColWidth="24.42578125" defaultRowHeight="15" x14ac:dyDescent="0.25"/>
  <cols>
    <col min="1" max="1" width="9.28515625" bestFit="1" customWidth="1"/>
    <col min="2" max="2" width="15.42578125" bestFit="1" customWidth="1"/>
    <col min="3" max="3" width="27.28515625" bestFit="1" customWidth="1"/>
    <col min="4" max="4" width="24.7109375" bestFit="1" customWidth="1"/>
    <col min="5" max="5" width="23.7109375" bestFit="1" customWidth="1"/>
    <col min="6" max="6" width="26.28515625" bestFit="1" customWidth="1"/>
    <col min="7" max="7" width="19.140625" bestFit="1" customWidth="1"/>
    <col min="8" max="8" width="21.5703125" bestFit="1" customWidth="1"/>
    <col min="9" max="9" width="24.7109375" bestFit="1" customWidth="1"/>
    <col min="10" max="10" width="23.7109375" bestFit="1" customWidth="1"/>
    <col min="11" max="11" width="19.140625" bestFit="1" customWidth="1"/>
  </cols>
  <sheetData>
    <row r="1" spans="1:11" ht="19.5" x14ac:dyDescent="0.25">
      <c r="A1" s="2" t="s">
        <v>1</v>
      </c>
      <c r="B1" s="2" t="s">
        <v>2</v>
      </c>
      <c r="C1" s="2" t="s">
        <v>7</v>
      </c>
      <c r="D1" s="2" t="s">
        <v>8</v>
      </c>
      <c r="E1" s="2" t="s">
        <v>9</v>
      </c>
      <c r="F1" s="2" t="s">
        <v>5</v>
      </c>
      <c r="G1" s="2" t="s">
        <v>40</v>
      </c>
      <c r="H1" s="2" t="s">
        <v>41</v>
      </c>
      <c r="I1" s="2" t="s">
        <v>14</v>
      </c>
      <c r="J1" s="2" t="s">
        <v>15</v>
      </c>
      <c r="K1" s="2" t="s">
        <v>42</v>
      </c>
    </row>
    <row r="2" spans="1:11" ht="19.5" x14ac:dyDescent="0.25">
      <c r="A2" s="2" t="s">
        <v>18</v>
      </c>
      <c r="B2" s="2" t="s">
        <v>19</v>
      </c>
      <c r="C2" s="2">
        <v>13194275.519999994</v>
      </c>
      <c r="D2" s="2">
        <v>15131175.839999791</v>
      </c>
      <c r="E2" s="2">
        <v>5393</v>
      </c>
      <c r="F2" s="2">
        <v>5069</v>
      </c>
      <c r="G2" s="2">
        <f>D2/E2</f>
        <v>2805.7066271091771</v>
      </c>
      <c r="H2" s="2">
        <v>2602.9346064312476</v>
      </c>
      <c r="I2" s="2">
        <v>15131175.839999791</v>
      </c>
      <c r="J2" s="2">
        <v>5393</v>
      </c>
      <c r="K2" s="2">
        <v>2805.7066271091771</v>
      </c>
    </row>
    <row r="3" spans="1:11" ht="19.5" x14ac:dyDescent="0.25">
      <c r="A3" s="2" t="s">
        <v>18</v>
      </c>
      <c r="B3" s="2" t="s">
        <v>30</v>
      </c>
      <c r="C3" s="2">
        <v>12997447.949999992</v>
      </c>
      <c r="D3" s="2">
        <v>15957777.299999952</v>
      </c>
      <c r="E3" s="2">
        <v>5964</v>
      </c>
      <c r="F3" s="2">
        <v>4937</v>
      </c>
      <c r="G3" s="2">
        <f t="shared" ref="G3:G10" si="0">D3/E3</f>
        <v>2675.6836519114609</v>
      </c>
      <c r="H3" s="2">
        <v>2632.6611201134274</v>
      </c>
      <c r="I3" s="2">
        <v>15957777.299999952</v>
      </c>
      <c r="J3" s="2">
        <v>5964</v>
      </c>
      <c r="K3" s="2">
        <v>2675.6836519114609</v>
      </c>
    </row>
    <row r="4" spans="1:11" ht="19.5" x14ac:dyDescent="0.25">
      <c r="A4" s="2" t="s">
        <v>18</v>
      </c>
      <c r="B4" s="2" t="s">
        <v>31</v>
      </c>
      <c r="C4" s="2">
        <v>13194275.519999994</v>
      </c>
      <c r="D4" s="2">
        <v>4279106.1899999985</v>
      </c>
      <c r="E4" s="2">
        <v>1278</v>
      </c>
      <c r="F4" s="2">
        <v>5069</v>
      </c>
      <c r="G4" s="2">
        <f t="shared" si="0"/>
        <v>3348.2834037558673</v>
      </c>
      <c r="H4" s="2">
        <v>2602.9346064312476</v>
      </c>
      <c r="I4" s="2">
        <v>13194275.519999994</v>
      </c>
      <c r="J4" s="2">
        <v>5069</v>
      </c>
      <c r="K4" s="2">
        <v>2602.9346064312476</v>
      </c>
    </row>
    <row r="5" spans="1:11" ht="19.5" x14ac:dyDescent="0.25">
      <c r="A5" s="2" t="s">
        <v>32</v>
      </c>
      <c r="B5" s="2" t="s">
        <v>19</v>
      </c>
      <c r="C5" s="2">
        <v>11108265.07</v>
      </c>
      <c r="D5" s="2">
        <v>7339618.4699999988</v>
      </c>
      <c r="E5" s="2">
        <v>3374</v>
      </c>
      <c r="F5" s="2">
        <v>4873</v>
      </c>
      <c r="G5" s="2">
        <f t="shared" si="0"/>
        <v>2175.346315945465</v>
      </c>
      <c r="H5" s="2">
        <v>2279.5536774061152</v>
      </c>
      <c r="I5" s="2">
        <v>11108265.07</v>
      </c>
      <c r="J5" s="2">
        <v>4873</v>
      </c>
      <c r="K5" s="2">
        <v>2279.5536774061152</v>
      </c>
    </row>
    <row r="6" spans="1:11" ht="19.5" x14ac:dyDescent="0.25">
      <c r="A6" s="2" t="s">
        <v>32</v>
      </c>
      <c r="B6" s="2" t="s">
        <v>30</v>
      </c>
      <c r="C6" s="2">
        <v>10796540.550000001</v>
      </c>
      <c r="D6" s="2">
        <v>12439429.520000063</v>
      </c>
      <c r="E6" s="2">
        <v>4003</v>
      </c>
      <c r="F6" s="2">
        <v>4771</v>
      </c>
      <c r="G6" s="2">
        <f t="shared" si="0"/>
        <v>3107.526734948804</v>
      </c>
      <c r="H6" s="2">
        <v>2262.9512785579545</v>
      </c>
      <c r="I6" s="2">
        <v>12439429.520000063</v>
      </c>
      <c r="J6" s="2">
        <v>4771</v>
      </c>
      <c r="K6" s="2">
        <v>2607.3002557116042</v>
      </c>
    </row>
    <row r="7" spans="1:11" ht="19.5" x14ac:dyDescent="0.25">
      <c r="A7" s="2" t="s">
        <v>32</v>
      </c>
      <c r="B7" s="2" t="s">
        <v>31</v>
      </c>
      <c r="C7" s="2">
        <v>11108265.07</v>
      </c>
      <c r="D7" s="2">
        <v>2182256.7399999998</v>
      </c>
      <c r="E7" s="2">
        <v>763</v>
      </c>
      <c r="F7" s="2">
        <v>4873</v>
      </c>
      <c r="G7" s="2">
        <f t="shared" si="0"/>
        <v>2860.100576671035</v>
      </c>
      <c r="H7" s="2">
        <v>2279.5536774061152</v>
      </c>
      <c r="I7" s="2">
        <v>11108265.07</v>
      </c>
      <c r="J7" s="2">
        <v>4873</v>
      </c>
      <c r="K7" s="2">
        <v>2279.5536774061152</v>
      </c>
    </row>
    <row r="8" spans="1:11" ht="19.5" x14ac:dyDescent="0.25">
      <c r="A8" s="2" t="s">
        <v>34</v>
      </c>
      <c r="B8" s="2" t="s">
        <v>19</v>
      </c>
      <c r="C8" s="2">
        <v>7328549.0900000026</v>
      </c>
      <c r="D8" s="2">
        <v>6116284.8100000266</v>
      </c>
      <c r="E8" s="2">
        <v>7473</v>
      </c>
      <c r="F8" s="2">
        <v>8813</v>
      </c>
      <c r="G8" s="2">
        <f t="shared" si="0"/>
        <v>818.45106516794147</v>
      </c>
      <c r="H8" s="2">
        <v>831.56122659707285</v>
      </c>
      <c r="I8" s="2">
        <v>7328549.0900000026</v>
      </c>
      <c r="J8" s="2">
        <v>8813</v>
      </c>
      <c r="K8" s="2">
        <v>831.56122659707285</v>
      </c>
    </row>
    <row r="9" spans="1:11" ht="19.5" x14ac:dyDescent="0.25">
      <c r="A9" s="2" t="s">
        <v>34</v>
      </c>
      <c r="B9" s="2" t="s">
        <v>30</v>
      </c>
      <c r="C9" s="2">
        <v>7100650.9200000027</v>
      </c>
      <c r="D9" s="2">
        <v>8387898.9400000684</v>
      </c>
      <c r="E9" s="2">
        <v>9066</v>
      </c>
      <c r="F9" s="2">
        <v>8517</v>
      </c>
      <c r="G9" s="2">
        <f t="shared" si="0"/>
        <v>925.20394220163996</v>
      </c>
      <c r="H9" s="2">
        <v>833.7032898908069</v>
      </c>
      <c r="I9" s="2">
        <v>8387898.9400000684</v>
      </c>
      <c r="J9" s="2">
        <v>9066</v>
      </c>
      <c r="K9" s="2">
        <v>925.20394220163996</v>
      </c>
    </row>
    <row r="10" spans="1:11" ht="19.5" x14ac:dyDescent="0.25">
      <c r="A10" s="2" t="s">
        <v>34</v>
      </c>
      <c r="B10" s="2" t="s">
        <v>31</v>
      </c>
      <c r="C10" s="2">
        <v>7328549.0900000026</v>
      </c>
      <c r="D10" s="2">
        <v>3117051.9699999997</v>
      </c>
      <c r="E10" s="2">
        <v>2290</v>
      </c>
      <c r="F10" s="2">
        <v>8813</v>
      </c>
      <c r="G10" s="2">
        <f t="shared" si="0"/>
        <v>1361.1580655021833</v>
      </c>
      <c r="H10" s="2">
        <v>831.56122659707285</v>
      </c>
      <c r="I10" s="2">
        <v>7328549.0900000026</v>
      </c>
      <c r="J10" s="2">
        <v>8813</v>
      </c>
      <c r="K10" s="2">
        <v>831.56122659707285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f5eea2-02aa-43b2-b186-9bb5aae170f1">
      <Terms xmlns="http://schemas.microsoft.com/office/infopath/2007/PartnerControls"/>
    </lcf76f155ced4ddcb4097134ff3c332f>
    <PDCA xmlns="8df5eea2-02aa-43b2-b186-9bb5aae170f1" xsi:nil="true"/>
    <VersionNo_x002e_ xmlns="8df5eea2-02aa-43b2-b186-9bb5aae170f1" xsi:nil="true"/>
    <Description_x002f_Notes xmlns="8df5eea2-02aa-43b2-b186-9bb5aae170f1" xsi:nil="true"/>
    <Status xmlns="8df5eea2-02aa-43b2-b186-9bb5aae170f1" xsi:nil="true"/>
    <Month xmlns="884335bf-bdcf-4a7f-8de1-56005a59177c" xsi:nil="true"/>
    <NeededAction xmlns="8df5eea2-02aa-43b2-b186-9bb5aae170f1" xsi:nil="true"/>
    <TaxCatchAll xmlns="884335bf-bdcf-4a7f-8de1-56005a59177c" xsi:nil="true"/>
    <Process xmlns="8df5eea2-02aa-43b2-b186-9bb5aae170f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1108C4F2AAA4CA5FC6D47FEB1D130" ma:contentTypeVersion="21" ma:contentTypeDescription="Create a new document." ma:contentTypeScope="" ma:versionID="f4454b736e0cf75eefd7e01d026b5210">
  <xsd:schema xmlns:xsd="http://www.w3.org/2001/XMLSchema" xmlns:xs="http://www.w3.org/2001/XMLSchema" xmlns:p="http://schemas.microsoft.com/office/2006/metadata/properties" xmlns:ns2="884335bf-bdcf-4a7f-8de1-56005a59177c" xmlns:ns3="8df5eea2-02aa-43b2-b186-9bb5aae170f1" targetNamespace="http://schemas.microsoft.com/office/2006/metadata/properties" ma:root="true" ma:fieldsID="46e192f371eecf753a070a50847a3f21" ns2:_="" ns3:_="">
    <xsd:import namespace="884335bf-bdcf-4a7f-8de1-56005a59177c"/>
    <xsd:import namespace="8df5eea2-02aa-43b2-b186-9bb5aae170f1"/>
    <xsd:element name="properties">
      <xsd:complexType>
        <xsd:sequence>
          <xsd:element name="documentManagement">
            <xsd:complexType>
              <xsd:all>
                <xsd:element ref="ns2:Month" minOccurs="0"/>
                <xsd:element ref="ns3:VersionNo_x002e_" minOccurs="0"/>
                <xsd:element ref="ns3:Status" minOccurs="0"/>
                <xsd:element ref="ns3:Description_x002f_Notes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NeededAction" minOccurs="0"/>
                <xsd:element ref="ns3:PDCA" minOccurs="0"/>
                <xsd:element ref="ns3:Proces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335bf-bdcf-4a7f-8de1-56005a59177c" elementFormDefault="qualified">
    <xsd:import namespace="http://schemas.microsoft.com/office/2006/documentManagement/types"/>
    <xsd:import namespace="http://schemas.microsoft.com/office/infopath/2007/PartnerControls"/>
    <xsd:element name="Month" ma:index="8" nillable="true" ma:displayName="Month" ma:format="Dropdown" ma:internalName="Month">
      <xsd:simpleType>
        <xsd:restriction base="dms:Choice">
          <xsd:enumeration value="Jan."/>
          <xsd:enumeration value="Feb.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."/>
          <xsd:enumeration value="Oct."/>
          <xsd:enumeration value="Nov."/>
          <xsd:enumeration value="Dec."/>
        </xsd:restriction>
      </xsd:simpleType>
    </xsd:element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3dacea3-c0fc-4c68-9bab-c9700671fb75}" ma:internalName="TaxCatchAll" ma:showField="CatchAllData" ma:web="884335bf-bdcf-4a7f-8de1-56005a591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5eea2-02aa-43b2-b186-9bb5aae170f1" elementFormDefault="qualified">
    <xsd:import namespace="http://schemas.microsoft.com/office/2006/documentManagement/types"/>
    <xsd:import namespace="http://schemas.microsoft.com/office/infopath/2007/PartnerControls"/>
    <xsd:element name="VersionNo_x002e_" ma:index="9" nillable="true" ma:displayName="Version No." ma:format="Dropdown" ma:internalName="VersionNo_x002e_" ma:percentage="FALSE">
      <xsd:simpleType>
        <xsd:restriction base="dms:Number"/>
      </xsd:simpleType>
    </xsd:element>
    <xsd:element name="Status" ma:index="10" nillable="true" ma:displayName="Status" ma:format="Dropdown" ma:internalName="Status">
      <xsd:simpleType>
        <xsd:restriction base="dms:Choice">
          <xsd:enumeration value="Draft"/>
          <xsd:enumeration value="Final"/>
        </xsd:restriction>
      </xsd:simpleType>
    </xsd:element>
    <xsd:element name="Description_x002f_Notes" ma:index="11" nillable="true" ma:displayName="Description / Notes" ma:format="Dropdown" ma:internalName="Description_x002f_Notes">
      <xsd:simpleType>
        <xsd:restriction base="dms:Note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27df0d-cd26-4623-87bf-6d09cadae3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eededAction" ma:index="26" nillable="true" ma:displayName="Needed Action" ma:format="Dropdown" ma:internalName="NeededAction">
      <xsd:simpleType>
        <xsd:restriction base="dms:Choice">
          <xsd:enumeration value="For CEO Review &amp; Comments "/>
          <xsd:enumeration value="Choice 2"/>
          <xsd:enumeration value="Choice 3"/>
        </xsd:restriction>
      </xsd:simpleType>
    </xsd:element>
    <xsd:element name="PDCA" ma:index="27" nillable="true" ma:displayName="PDCA" ma:internalName="PDCA">
      <xsd:simpleType>
        <xsd:restriction base="dms:Choice">
          <xsd:enumeration value="Plan"/>
          <xsd:enumeration value="Do"/>
          <xsd:enumeration value="Check"/>
          <xsd:enumeration value="Act"/>
        </xsd:restriction>
      </xsd:simpleType>
    </xsd:element>
    <xsd:element name="Process" ma:index="28" nillable="true" ma:displayName="Process" ma:internalName="Process">
      <xsd:simpleType>
        <xsd:restriction base="dms:Choice">
          <xsd:enumeration value="Market Research"/>
          <xsd:enumeration value="Product Commercialization management"/>
          <xsd:enumeration value="Product Development management"/>
          <xsd:enumeration value="Performance &amp; compensation management"/>
          <xsd:enumeration value="Business Analytics"/>
          <xsd:enumeration value="Project Management"/>
          <xsd:enumeration value="Stakeholder managemen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EF5767-DAFE-4BA8-8A75-45AFC3233B03}">
  <ds:schemaRefs>
    <ds:schemaRef ds:uri="http://schemas.microsoft.com/office/2006/metadata/properties"/>
    <ds:schemaRef ds:uri="http://www.w3.org/2000/xmlns/"/>
    <ds:schemaRef ds:uri="8df5eea2-02aa-43b2-b186-9bb5aae170f1"/>
    <ds:schemaRef ds:uri="http://schemas.microsoft.com/office/infopath/2007/PartnerControls"/>
    <ds:schemaRef ds:uri="http://www.w3.org/2001/XMLSchema-instance"/>
    <ds:schemaRef ds:uri="884335bf-bdcf-4a7f-8de1-56005a59177c"/>
  </ds:schemaRefs>
</ds:datastoreItem>
</file>

<file path=customXml/itemProps2.xml><?xml version="1.0" encoding="utf-8"?>
<ds:datastoreItem xmlns:ds="http://schemas.openxmlformats.org/officeDocument/2006/customXml" ds:itemID="{E28A1EAB-4B02-4E7B-A7D1-EB16B799B5C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4335bf-bdcf-4a7f-8de1-56005a59177c"/>
    <ds:schemaRef ds:uri="8df5eea2-02aa-43b2-b186-9bb5aae170f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F7FF20-5074-4516-A4BB-CC61C04BC0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111e2ea-3266-44a2-93ed-bd2aa34a4204}" enabled="1" method="Privileged" siteId="{c515f6b1-812f-4d6c-9542-d914e95b3d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Billing Data</vt:lpstr>
      <vt:lpstr>Marketing Data</vt:lpstr>
      <vt:lpstr>Medical CRM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Asmaa AbdElHady Mohamed</dc:creator>
  <cp:keywords/>
  <dc:description/>
  <cp:lastModifiedBy>Kerols Nakhla</cp:lastModifiedBy>
  <cp:revision/>
  <dcterms:created xsi:type="dcterms:W3CDTF">2025-05-12T09:18:10Z</dcterms:created>
  <dcterms:modified xsi:type="dcterms:W3CDTF">2026-07-03T12:26:45Z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0x010100B491108C4F2AAA4CA5FC6D47FEB1D130</vt:lpwstr>
  </property>
  <property fmtid="{D5CDD505-2E9C-101B-9397-08002B2CF9AE}" pid="3" name="MediaServiceImageTags">
    <vt:lpwstr/>
  </property>
</Properties>
</file>